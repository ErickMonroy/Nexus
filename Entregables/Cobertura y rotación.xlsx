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ichel\Downloads\"/>
    </mc:Choice>
  </mc:AlternateContent>
  <xr:revisionPtr revIDLastSave="0" documentId="8_{391C7FFE-E602-4963-B408-0FC784215D53}" xr6:coauthVersionLast="47" xr6:coauthVersionMax="47" xr10:uidLastSave="{00000000-0000-0000-0000-000000000000}"/>
  <bookViews>
    <workbookView xWindow="-108" yWindow="-108" windowWidth="23256" windowHeight="12456" tabRatio="731" activeTab="2" xr2:uid="{E1E3F40D-1342-425E-B335-981C0C652774}"/>
  </bookViews>
  <sheets>
    <sheet name="AÑO 2023" sheetId="10" r:id="rId1"/>
    <sheet name="AÑO 2024" sheetId="11" r:id="rId2"/>
    <sheet name="AÑO 2025" sheetId="12" r:id="rId3"/>
  </sheets>
  <definedNames>
    <definedName name="_xlnm._FilterDatabase" localSheetId="0" hidden="1">'AÑO 2023'!$A$3:$E$1023</definedName>
    <definedName name="_xlnm._FilterDatabase" localSheetId="1" hidden="1">'AÑO 2024'!$A$3:$E$1023</definedName>
    <definedName name="_xlnm._FilterDatabase" localSheetId="2" hidden="1">'AÑO 2025'!$A$3:$E$428</definedName>
  </definedNames>
  <calcPr calcId="191029"/>
  <pivotCaches>
    <pivotCache cacheId="43" r:id="rId4"/>
    <pivotCache cacheId="45" r:id="rId5"/>
    <pivotCache cacheId="4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7" i="11" l="1"/>
  <c r="L44" i="11"/>
  <c r="M44" i="11" s="1"/>
  <c r="L34" i="11"/>
  <c r="M34" i="11" s="1"/>
  <c r="L45" i="11"/>
  <c r="M45" i="11" s="1"/>
  <c r="L43" i="11"/>
  <c r="M43" i="11" s="1"/>
  <c r="L42" i="11"/>
  <c r="M42" i="11" s="1"/>
  <c r="L41" i="11"/>
  <c r="M41" i="11" s="1"/>
  <c r="L40" i="11"/>
  <c r="M40" i="11" s="1"/>
  <c r="L39" i="11"/>
  <c r="M39" i="11" s="1"/>
  <c r="M38" i="11"/>
  <c r="L38" i="11"/>
  <c r="L37" i="11"/>
  <c r="M37" i="11" s="1"/>
  <c r="L36" i="11"/>
  <c r="M36" i="11" s="1"/>
  <c r="L35" i="11"/>
  <c r="M35" i="11" s="1"/>
  <c r="I49" i="10"/>
  <c r="M48" i="10"/>
  <c r="M47" i="10"/>
  <c r="M36" i="10"/>
  <c r="M40" i="10"/>
  <c r="M41" i="10"/>
  <c r="M42" i="10"/>
  <c r="M43" i="10"/>
  <c r="M44" i="10"/>
  <c r="M45" i="10"/>
  <c r="M46" i="10"/>
  <c r="L40" i="10"/>
  <c r="L41" i="10"/>
  <c r="L42" i="10"/>
  <c r="L43" i="10"/>
  <c r="L44" i="10"/>
  <c r="L45" i="10"/>
  <c r="L46" i="10"/>
  <c r="L47" i="10"/>
  <c r="L36" i="10"/>
  <c r="L39" i="10"/>
  <c r="M39" i="10" s="1"/>
  <c r="L38" i="10"/>
  <c r="M38" i="10" s="1"/>
  <c r="M37" i="10"/>
  <c r="L37" i="10"/>
  <c r="I33" i="12"/>
  <c r="I16" i="12"/>
  <c r="K15" i="12"/>
  <c r="K14" i="12"/>
  <c r="K10" i="12"/>
  <c r="L31" i="12"/>
  <c r="M31" i="12" s="1"/>
  <c r="L30" i="12"/>
  <c r="M30" i="12" s="1"/>
  <c r="J14" i="12"/>
  <c r="L28" i="12"/>
  <c r="M28" i="12" s="1"/>
  <c r="L29" i="12"/>
  <c r="M29" i="12" s="1"/>
  <c r="L27" i="12"/>
  <c r="M27" i="12" s="1"/>
  <c r="J10" i="12"/>
  <c r="I26" i="11"/>
  <c r="J11" i="10"/>
  <c r="K11" i="10" s="1"/>
  <c r="J12" i="10"/>
  <c r="K12" i="10" s="1"/>
  <c r="I23" i="11"/>
  <c r="J21" i="11"/>
  <c r="K21" i="11" s="1"/>
  <c r="J20" i="11"/>
  <c r="K20" i="11" s="1"/>
  <c r="J19" i="11"/>
  <c r="K19" i="11" s="1"/>
  <c r="J18" i="11"/>
  <c r="K18" i="11" s="1"/>
  <c r="J17" i="11"/>
  <c r="K17" i="11" s="1"/>
  <c r="J16" i="11"/>
  <c r="K16" i="11" s="1"/>
  <c r="J15" i="11"/>
  <c r="K15" i="11" s="1"/>
  <c r="J14" i="11"/>
  <c r="K14" i="11" s="1"/>
  <c r="J13" i="11"/>
  <c r="K13" i="11" s="1"/>
  <c r="J12" i="11"/>
  <c r="K12" i="11" s="1"/>
  <c r="J11" i="11"/>
  <c r="K11" i="11" s="1"/>
  <c r="J10" i="11"/>
  <c r="K10" i="11" s="1"/>
  <c r="I24" i="10"/>
  <c r="J22" i="10"/>
  <c r="K22" i="10" s="1"/>
  <c r="J21" i="10"/>
  <c r="K21" i="10" s="1"/>
  <c r="J20" i="10"/>
  <c r="K20" i="10" s="1"/>
  <c r="J19" i="10"/>
  <c r="K19" i="10" s="1"/>
  <c r="J18" i="10"/>
  <c r="K18" i="10" s="1"/>
  <c r="J17" i="10"/>
  <c r="K17" i="10" s="1"/>
  <c r="J16" i="10"/>
  <c r="K16" i="10" s="1"/>
  <c r="J15" i="10"/>
  <c r="K15" i="10" s="1"/>
  <c r="J14" i="10"/>
  <c r="K14" i="10" s="1"/>
  <c r="J13" i="10"/>
  <c r="K13" i="10" s="1"/>
  <c r="J13" i="12"/>
  <c r="K13" i="12" s="1"/>
  <c r="J12" i="12"/>
  <c r="K12" i="12" s="1"/>
  <c r="J11" i="12"/>
  <c r="K11" i="12" s="1"/>
  <c r="I24" i="11"/>
  <c r="I25" i="10"/>
  <c r="I48" i="11"/>
  <c r="I50" i="10"/>
  <c r="I34" i="12"/>
  <c r="I17" i="12"/>
  <c r="I49" i="11" l="1"/>
  <c r="I50" i="11" s="1"/>
  <c r="M46" i="11"/>
  <c r="I51" i="10"/>
  <c r="I52" i="10" s="1"/>
  <c r="I35" i="12"/>
  <c r="I36" i="12"/>
  <c r="M32" i="12"/>
  <c r="I25" i="11"/>
  <c r="K22" i="11"/>
  <c r="I26" i="10"/>
  <c r="I27" i="10" s="1"/>
  <c r="K23" i="10"/>
  <c r="I18" i="12"/>
  <c r="I19" i="12" s="1"/>
</calcChain>
</file>

<file path=xl/sharedStrings.xml><?xml version="1.0" encoding="utf-8"?>
<sst xmlns="http://schemas.openxmlformats.org/spreadsheetml/2006/main" count="7561" uniqueCount="69">
  <si>
    <t>TIENDA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</si>
  <si>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</si>
  <si>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</si>
  <si>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</si>
  <si>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</si>
  <si>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</si>
  <si>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</si>
  <si>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</si>
  <si>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</si>
  <si>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</si>
  <si>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</si>
  <si>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</si>
  <si>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</si>
  <si>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</si>
  <si>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VTA PZS</t>
  </si>
  <si>
    <t>INV PZS</t>
  </si>
  <si>
    <t>Tienda 1</t>
  </si>
  <si>
    <t>Tienda 2</t>
  </si>
  <si>
    <t>Tienda 3</t>
  </si>
  <si>
    <t>Tienda 4</t>
  </si>
  <si>
    <t>Tienda 5</t>
  </si>
  <si>
    <t>Tienda 6</t>
  </si>
  <si>
    <t>Tienda 7</t>
  </si>
  <si>
    <t>Tienda 8</t>
  </si>
  <si>
    <t>Tienda 9</t>
  </si>
  <si>
    <t>Tienda 10</t>
  </si>
  <si>
    <t>Tienda 11</t>
  </si>
  <si>
    <t>Tienda 12</t>
  </si>
  <si>
    <t>Tienda 13</t>
  </si>
  <si>
    <t>Tienda 14</t>
  </si>
  <si>
    <t>Tienda 15</t>
  </si>
  <si>
    <t>Tienda 16</t>
  </si>
  <si>
    <t>Tienda 17</t>
  </si>
  <si>
    <t>UNIDAD DE NEGOCIO</t>
  </si>
  <si>
    <t>ACCESORIOS</t>
  </si>
  <si>
    <t>TENNIS DEPORTIVOS</t>
  </si>
  <si>
    <t>CALZADO NIÑOS</t>
  </si>
  <si>
    <t>CALZADO CASUAL HOMBRE</t>
  </si>
  <si>
    <t>CALZADO CASUAL MUJER</t>
  </si>
  <si>
    <t>REPORTE DEL AÑO 2024</t>
  </si>
  <si>
    <t>REPORTE DEL AÑO 2025</t>
  </si>
  <si>
    <t>REPORTE DEL AÑO 2023</t>
  </si>
  <si>
    <t>Total general</t>
  </si>
  <si>
    <t>Suma de INV PZS</t>
  </si>
  <si>
    <t>Suma de VTA PZS</t>
  </si>
  <si>
    <t>INV PROM</t>
  </si>
  <si>
    <t>ROTACIÓN</t>
  </si>
  <si>
    <t>Rotación total</t>
  </si>
  <si>
    <t>Vta prom</t>
  </si>
  <si>
    <t>Cobertura por mes</t>
  </si>
  <si>
    <t>Cobertura por año</t>
  </si>
  <si>
    <t xml:space="preserve">Rotación total </t>
  </si>
  <si>
    <t>(Todas)</t>
  </si>
  <si>
    <t>Mes del año 2024</t>
  </si>
  <si>
    <t>Mes del año 2025</t>
  </si>
  <si>
    <t>Etiquetas de fila</t>
  </si>
  <si>
    <t>Cobertura por día</t>
  </si>
  <si>
    <t>Total Suma de VTA PZS</t>
  </si>
  <si>
    <t>Total Suma de INV PZS</t>
  </si>
  <si>
    <t>Rotación</t>
  </si>
  <si>
    <t>Unidad de negocio</t>
  </si>
  <si>
    <t>Unidad de Negocio</t>
  </si>
  <si>
    <t xml:space="preserve">Mes </t>
  </si>
  <si>
    <t>Rotación y cobertura de inventario por tienda y general  año 2023</t>
  </si>
  <si>
    <t>Rotación y cobertura de inventario por unidad de negocio año 2023</t>
  </si>
  <si>
    <t>Rotación y cobertura de inventario por unidad de negocio año 2024</t>
  </si>
  <si>
    <t>Rotación y cobertura de inventario por tienda y general año 2024</t>
  </si>
  <si>
    <t>Rotación y cobertura de inventario por tienda y general  año 2025</t>
  </si>
  <si>
    <t>Rotación y cobertura de inventario por unidad de negocio año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</si>
</sst>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0" fillId="0" borderId="0" xfId="0" applyAlignment="1">
      <alignment horizontal="left"/>
    </xf>
    <xf numFmtId="0" fontId="2" fillId="0" borderId="0" xfId="0" applyFont="1"/>
    <xf numFmtId="3" fontId="0" fillId="0" borderId="0" xfId="0" applyNumberFormat="1"/>
    <xf numFmtId="0" fontId="0" fillId="0" borderId="0" xfId="0" pivotButton="1"/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3" fontId="2" fillId="4" borderId="0" xfId="0" applyNumberFormat="1" applyFont="1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" refreshedDate="45966.564431365739" createdVersion="8" refreshedVersion="8" minRefreshableVersion="3" recordCount="425" xr:uid="{E1FBF34F-1C04-49AC-8582-C9C8D0D22679}">
  <cacheSource type="worksheet">
    <worksheetSource ref="A3:E428" sheet="AÑO 2025"/>
  </cacheSource>
  <cacheFields count="6">
    <cacheField name="TIENDA" numFmtId="0">
      <sharedItems count="17">
        <s v="Tienda 1"/>
        <s v="Tienda 2"/>
        <s v="Tienda 3"/>
        <s v="Tienda 4"/>
        <s v="Tienda 5"/>
        <s v="Tienda 6"/>
        <s v="Tienda 7"/>
        <s v="Tienda 8"/>
        <s v="Tienda 9"/>
        <s v="Tienda 10"/>
        <s v="Tienda 11"/>
        <s v="Tienda 12"/>
        <s v="Tienda 13"/>
        <s v="Tienda 14"/>
        <s v="Tienda 15"/>
        <s v="Tienda 16"/>
        <s v="Tienda 17"/>
      </sharedItems>
    </cacheField>
    <cacheField name="UNIDAD DE NEGOCIO" numFmtId="0">
      <sharedItems count="5">
        <s v="CALZADO CASUAL HOMBRE"/>
        <s v="CALZADO CASUAL MUJER"/>
        <s v="CALZADO NIÑOS"/>
        <s v="TENNIS DEPORTIVOS"/>
        <s v="ACCESORIOS"/>
      </sharedItems>
    </cacheField>
    <cacheField name="MES" numFmtId="0">
      <sharedItems count="5">
        <s v="Enero"/>
        <s v="Febrero"/>
        <s v="Marzo"/>
        <s v="Abril"/>
        <s v="Mayo"/>
      </sharedItems>
    </cacheField>
    <cacheField name="INV PZS" numFmtId="3">
      <sharedItems containsSemiMixedTypes="0" containsString="0" containsNumber="1" containsInteger="1" minValue="1868" maxValue="445230"/>
    </cacheField>
    <cacheField name="VTA PZS" numFmtId="3">
      <sharedItems containsSemiMixedTypes="0" containsString="0" containsNumber="1" containsInteger="1" minValue="45" maxValue="120438"/>
    </cacheField>
    <cacheField name="INV FINAL PZS" numFmtId="3">
      <sharedItems containsSemiMixedTypes="0" containsString="0" containsNumber="1" containsInteger="1" minValue="1585" maxValue="3440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" refreshedDate="45966.565052546299" createdVersion="8" refreshedVersion="8" minRefreshableVersion="3" recordCount="1020" xr:uid="{B1039536-2CE8-401D-9C6E-C79AE9717A0A}">
  <cacheSource type="worksheet">
    <worksheetSource ref="A3:E1023" sheet="AÑO 2024"/>
  </cacheSource>
  <cacheFields count="6">
    <cacheField name="TIENDA" numFmtId="0">
      <sharedItems count="17">
        <s v="Tienda 1"/>
        <s v="Tienda 2"/>
        <s v="Tienda 3"/>
        <s v="Tienda 4"/>
        <s v="Tienda 5"/>
        <s v="Tienda 6"/>
        <s v="Tienda 7"/>
        <s v="Tienda 8"/>
        <s v="Tienda 9"/>
        <s v="Tienda 10"/>
        <s v="Tienda 11"/>
        <s v="Tienda 12"/>
        <s v="Tienda 13"/>
        <s v="Tienda 14"/>
        <s v="Tienda 15"/>
        <s v="Tienda 16"/>
        <s v="Tienda 17"/>
      </sharedItems>
    </cacheField>
    <cacheField name="UNIDAD DE NEGOCIO" numFmtId="0">
      <sharedItems count="5">
        <s v="CALZADO CASUAL HOMBRE"/>
        <s v="CALZADO CASUAL MUJER"/>
        <s v="CALZADO NIÑOS"/>
        <s v="TENNIS DEPORTIVOS"/>
        <s v="ACCESORIOS"/>
      </sharedItems>
    </cacheField>
    <cacheField name="MES" numFmtId="0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INV PZS" numFmtId="3">
      <sharedItems containsSemiMixedTypes="0" containsString="0" containsNumber="1" containsInteger="1" minValue="643" maxValue="324339"/>
    </cacheField>
    <cacheField name="VTA PZS" numFmtId="3">
      <sharedItems containsSemiMixedTypes="0" containsString="0" containsNumber="1" containsInteger="1" minValue="76" maxValue="267058"/>
    </cacheField>
    <cacheField name="INV FINAL PZS" numFmtId="3">
      <sharedItems containsSemiMixedTypes="0" containsString="0" containsNumber="1" containsInteger="1" minValue="-8744" maxValue="2133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" refreshedDate="45966.580847569443" createdVersion="8" refreshedVersion="8" minRefreshableVersion="3" recordCount="1020" xr:uid="{FEF03077-7C6D-4AC0-8742-9BC249381AE5}">
  <cacheSource type="worksheet">
    <worksheetSource ref="A3:E1023" sheet="AÑO 2023"/>
  </cacheSource>
  <cacheFields count="5">
    <cacheField name="TIENDA" numFmtId="0">
      <sharedItems count="17">
        <s v="Tienda 1"/>
        <s v="Tienda 2"/>
        <s v="Tienda 3"/>
        <s v="Tienda 4"/>
        <s v="Tienda 5"/>
        <s v="Tienda 6"/>
        <s v="Tienda 7"/>
        <s v="Tienda 8"/>
        <s v="Tienda 9"/>
        <s v="Tienda 10"/>
        <s v="Tienda 11"/>
        <s v="Tienda 12"/>
        <s v="Tienda 13"/>
        <s v="Tienda 14"/>
        <s v="Tienda 15"/>
        <s v="Tienda 16"/>
        <s v="Tienda 17"/>
      </sharedItems>
    </cacheField>
    <cacheField name="UNIDAD DE NEGOCIO" numFmtId="0">
      <sharedItems count="5">
        <s v="CALZADO CASUAL HOMBRE"/>
        <s v="CALZADO CASUAL MUJER"/>
        <s v="CALZADO NIÑOS"/>
        <s v="TENNIS DEPORTIVOS"/>
        <s v="ACCESORIOS"/>
      </sharedItems>
    </cacheField>
    <cacheField name="MES" numFmtId="0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INV PZS" numFmtId="3">
      <sharedItems containsSemiMixedTypes="0" containsString="0" containsNumber="1" containsInteger="1" minValue="1485" maxValue="314294"/>
    </cacheField>
    <cacheField name="VTA PZS" numFmtId="3">
      <sharedItems containsSemiMixedTypes="0" containsString="0" containsNumber="1" containsInteger="1" minValue="138" maxValue="2804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5">
  <r>
    <x v="0"/>
    <x v="0"/>
    <x v="0"/>
    <n v="47126"/>
    <n v="13063"/>
    <n v="34063"/>
  </r>
  <r>
    <x v="0"/>
    <x v="0"/>
    <x v="1"/>
    <n v="56260"/>
    <n v="13689"/>
    <n v="42571"/>
  </r>
  <r>
    <x v="0"/>
    <x v="0"/>
    <x v="2"/>
    <n v="62156"/>
    <n v="17013"/>
    <n v="45143"/>
  </r>
  <r>
    <x v="0"/>
    <x v="0"/>
    <x v="3"/>
    <n v="60036"/>
    <n v="15421"/>
    <n v="44615"/>
  </r>
  <r>
    <x v="0"/>
    <x v="0"/>
    <x v="4"/>
    <n v="59348"/>
    <n v="15862"/>
    <n v="43486"/>
  </r>
  <r>
    <x v="0"/>
    <x v="1"/>
    <x v="0"/>
    <n v="52699"/>
    <n v="11632"/>
    <n v="41067"/>
  </r>
  <r>
    <x v="0"/>
    <x v="1"/>
    <x v="1"/>
    <n v="65836"/>
    <n v="12708"/>
    <n v="53128"/>
  </r>
  <r>
    <x v="0"/>
    <x v="1"/>
    <x v="2"/>
    <n v="65805"/>
    <n v="17153"/>
    <n v="48652"/>
  </r>
  <r>
    <x v="0"/>
    <x v="1"/>
    <x v="3"/>
    <n v="59415"/>
    <n v="17036"/>
    <n v="42379"/>
  </r>
  <r>
    <x v="0"/>
    <x v="1"/>
    <x v="4"/>
    <n v="55422"/>
    <n v="17729"/>
    <n v="37693"/>
  </r>
  <r>
    <x v="0"/>
    <x v="2"/>
    <x v="0"/>
    <n v="35117"/>
    <n v="7741"/>
    <n v="27376"/>
  </r>
  <r>
    <x v="0"/>
    <x v="2"/>
    <x v="1"/>
    <n v="30138"/>
    <n v="5816"/>
    <n v="24322"/>
  </r>
  <r>
    <x v="0"/>
    <x v="2"/>
    <x v="2"/>
    <n v="37676"/>
    <n v="6458"/>
    <n v="31218"/>
  </r>
  <r>
    <x v="0"/>
    <x v="2"/>
    <x v="3"/>
    <n v="38208"/>
    <n v="6603"/>
    <n v="31605"/>
  </r>
  <r>
    <x v="0"/>
    <x v="2"/>
    <x v="4"/>
    <n v="38337"/>
    <n v="8670"/>
    <n v="29667"/>
  </r>
  <r>
    <x v="0"/>
    <x v="3"/>
    <x v="0"/>
    <n v="66076"/>
    <n v="23752"/>
    <n v="42324"/>
  </r>
  <r>
    <x v="0"/>
    <x v="3"/>
    <x v="1"/>
    <n v="86015"/>
    <n v="18100"/>
    <n v="67915"/>
  </r>
  <r>
    <x v="0"/>
    <x v="3"/>
    <x v="2"/>
    <n v="119409"/>
    <n v="22149"/>
    <n v="97260"/>
  </r>
  <r>
    <x v="0"/>
    <x v="3"/>
    <x v="3"/>
    <n v="115471"/>
    <n v="23557"/>
    <n v="91914"/>
  </r>
  <r>
    <x v="0"/>
    <x v="3"/>
    <x v="4"/>
    <n v="101440"/>
    <n v="22259"/>
    <n v="79181"/>
  </r>
  <r>
    <x v="0"/>
    <x v="4"/>
    <x v="0"/>
    <n v="3148"/>
    <n v="99"/>
    <n v="3049"/>
  </r>
  <r>
    <x v="0"/>
    <x v="4"/>
    <x v="1"/>
    <n v="2976"/>
    <n v="62"/>
    <n v="2914"/>
  </r>
  <r>
    <x v="0"/>
    <x v="4"/>
    <x v="2"/>
    <n v="2942"/>
    <n v="87"/>
    <n v="2855"/>
  </r>
  <r>
    <x v="0"/>
    <x v="4"/>
    <x v="3"/>
    <n v="2874"/>
    <n v="51"/>
    <n v="2823"/>
  </r>
  <r>
    <x v="0"/>
    <x v="4"/>
    <x v="4"/>
    <n v="2887"/>
    <n v="96"/>
    <n v="2791"/>
  </r>
  <r>
    <x v="1"/>
    <x v="0"/>
    <x v="0"/>
    <n v="85916"/>
    <n v="43069"/>
    <n v="42847"/>
  </r>
  <r>
    <x v="1"/>
    <x v="0"/>
    <x v="1"/>
    <n v="118964"/>
    <n v="44874"/>
    <n v="74090"/>
  </r>
  <r>
    <x v="1"/>
    <x v="0"/>
    <x v="2"/>
    <n v="143314"/>
    <n v="54096"/>
    <n v="89218"/>
  </r>
  <r>
    <x v="1"/>
    <x v="0"/>
    <x v="3"/>
    <n v="135609"/>
    <n v="48192"/>
    <n v="87417"/>
  </r>
  <r>
    <x v="1"/>
    <x v="0"/>
    <x v="4"/>
    <n v="125146"/>
    <n v="55146"/>
    <n v="70000"/>
  </r>
  <r>
    <x v="1"/>
    <x v="1"/>
    <x v="0"/>
    <n v="98195"/>
    <n v="30490"/>
    <n v="67705"/>
  </r>
  <r>
    <x v="1"/>
    <x v="1"/>
    <x v="1"/>
    <n v="135556"/>
    <n v="32523"/>
    <n v="103033"/>
  </r>
  <r>
    <x v="1"/>
    <x v="1"/>
    <x v="2"/>
    <n v="148936"/>
    <n v="44904"/>
    <n v="104032"/>
  </r>
  <r>
    <x v="1"/>
    <x v="1"/>
    <x v="3"/>
    <n v="134983"/>
    <n v="39270"/>
    <n v="95713"/>
  </r>
  <r>
    <x v="1"/>
    <x v="1"/>
    <x v="4"/>
    <n v="117099"/>
    <n v="42116"/>
    <n v="74983"/>
  </r>
  <r>
    <x v="1"/>
    <x v="2"/>
    <x v="0"/>
    <n v="75285"/>
    <n v="20613"/>
    <n v="54672"/>
  </r>
  <r>
    <x v="1"/>
    <x v="2"/>
    <x v="1"/>
    <n v="55783"/>
    <n v="15286"/>
    <n v="40497"/>
  </r>
  <r>
    <x v="1"/>
    <x v="2"/>
    <x v="2"/>
    <n v="71682"/>
    <n v="17228"/>
    <n v="54454"/>
  </r>
  <r>
    <x v="1"/>
    <x v="2"/>
    <x v="3"/>
    <n v="77263"/>
    <n v="19162"/>
    <n v="58101"/>
  </r>
  <r>
    <x v="1"/>
    <x v="2"/>
    <x v="4"/>
    <n v="72017"/>
    <n v="23633"/>
    <n v="48384"/>
  </r>
  <r>
    <x v="1"/>
    <x v="3"/>
    <x v="0"/>
    <n v="186101"/>
    <n v="55032"/>
    <n v="131069"/>
  </r>
  <r>
    <x v="1"/>
    <x v="3"/>
    <x v="1"/>
    <n v="219246"/>
    <n v="51602"/>
    <n v="167644"/>
  </r>
  <r>
    <x v="1"/>
    <x v="3"/>
    <x v="2"/>
    <n v="292047"/>
    <n v="68681"/>
    <n v="223366"/>
  </r>
  <r>
    <x v="1"/>
    <x v="3"/>
    <x v="3"/>
    <n v="295448"/>
    <n v="62033"/>
    <n v="233415"/>
  </r>
  <r>
    <x v="1"/>
    <x v="3"/>
    <x v="4"/>
    <n v="245076"/>
    <n v="65778"/>
    <n v="179298"/>
  </r>
  <r>
    <x v="1"/>
    <x v="4"/>
    <x v="0"/>
    <n v="4374"/>
    <n v="428"/>
    <n v="3946"/>
  </r>
  <r>
    <x v="1"/>
    <x v="4"/>
    <x v="1"/>
    <n v="3790"/>
    <n v="353"/>
    <n v="3437"/>
  </r>
  <r>
    <x v="1"/>
    <x v="4"/>
    <x v="2"/>
    <n v="3572"/>
    <n v="229"/>
    <n v="3343"/>
  </r>
  <r>
    <x v="1"/>
    <x v="4"/>
    <x v="3"/>
    <n v="3373"/>
    <n v="249"/>
    <n v="3124"/>
  </r>
  <r>
    <x v="1"/>
    <x v="4"/>
    <x v="4"/>
    <n v="3381"/>
    <n v="246"/>
    <n v="3135"/>
  </r>
  <r>
    <x v="2"/>
    <x v="0"/>
    <x v="0"/>
    <n v="66715"/>
    <n v="33641"/>
    <n v="33074"/>
  </r>
  <r>
    <x v="2"/>
    <x v="0"/>
    <x v="1"/>
    <n v="76541"/>
    <n v="35127"/>
    <n v="41414"/>
  </r>
  <r>
    <x v="2"/>
    <x v="0"/>
    <x v="2"/>
    <n v="95302"/>
    <n v="42269"/>
    <n v="53033"/>
  </r>
  <r>
    <x v="2"/>
    <x v="0"/>
    <x v="3"/>
    <n v="85652"/>
    <n v="36420"/>
    <n v="49232"/>
  </r>
  <r>
    <x v="2"/>
    <x v="0"/>
    <x v="4"/>
    <n v="83633"/>
    <n v="41168"/>
    <n v="42465"/>
  </r>
  <r>
    <x v="2"/>
    <x v="1"/>
    <x v="0"/>
    <n v="60805"/>
    <n v="26575"/>
    <n v="34230"/>
  </r>
  <r>
    <x v="2"/>
    <x v="1"/>
    <x v="1"/>
    <n v="81974"/>
    <n v="28618"/>
    <n v="53356"/>
  </r>
  <r>
    <x v="2"/>
    <x v="1"/>
    <x v="2"/>
    <n v="89593"/>
    <n v="37427"/>
    <n v="52166"/>
  </r>
  <r>
    <x v="2"/>
    <x v="1"/>
    <x v="3"/>
    <n v="76805"/>
    <n v="33686"/>
    <n v="43119"/>
  </r>
  <r>
    <x v="2"/>
    <x v="1"/>
    <x v="4"/>
    <n v="71703"/>
    <n v="34716"/>
    <n v="36987"/>
  </r>
  <r>
    <x v="2"/>
    <x v="2"/>
    <x v="0"/>
    <n v="43589"/>
    <n v="15303"/>
    <n v="28286"/>
  </r>
  <r>
    <x v="2"/>
    <x v="2"/>
    <x v="1"/>
    <n v="34415"/>
    <n v="11656"/>
    <n v="22759"/>
  </r>
  <r>
    <x v="2"/>
    <x v="2"/>
    <x v="2"/>
    <n v="40752"/>
    <n v="14560"/>
    <n v="26192"/>
  </r>
  <r>
    <x v="2"/>
    <x v="2"/>
    <x v="3"/>
    <n v="43323"/>
    <n v="15679"/>
    <n v="27644"/>
  </r>
  <r>
    <x v="2"/>
    <x v="2"/>
    <x v="4"/>
    <n v="42040"/>
    <n v="17748"/>
    <n v="24292"/>
  </r>
  <r>
    <x v="2"/>
    <x v="3"/>
    <x v="0"/>
    <n v="97605"/>
    <n v="48489"/>
    <n v="49116"/>
  </r>
  <r>
    <x v="2"/>
    <x v="3"/>
    <x v="1"/>
    <n v="131625"/>
    <n v="47373"/>
    <n v="84252"/>
  </r>
  <r>
    <x v="2"/>
    <x v="3"/>
    <x v="2"/>
    <n v="189589"/>
    <n v="58498"/>
    <n v="131091"/>
  </r>
  <r>
    <x v="2"/>
    <x v="3"/>
    <x v="3"/>
    <n v="191057"/>
    <n v="52223"/>
    <n v="138834"/>
  </r>
  <r>
    <x v="2"/>
    <x v="3"/>
    <x v="4"/>
    <n v="167336"/>
    <n v="49514"/>
    <n v="117822"/>
  </r>
  <r>
    <x v="2"/>
    <x v="4"/>
    <x v="0"/>
    <n v="3495"/>
    <n v="373"/>
    <n v="3122"/>
  </r>
  <r>
    <x v="2"/>
    <x v="4"/>
    <x v="1"/>
    <n v="3081"/>
    <n v="241"/>
    <n v="2840"/>
  </r>
  <r>
    <x v="2"/>
    <x v="4"/>
    <x v="2"/>
    <n v="2957"/>
    <n v="192"/>
    <n v="2765"/>
  </r>
  <r>
    <x v="2"/>
    <x v="4"/>
    <x v="3"/>
    <n v="2796"/>
    <n v="170"/>
    <n v="2626"/>
  </r>
  <r>
    <x v="2"/>
    <x v="4"/>
    <x v="4"/>
    <n v="2827"/>
    <n v="217"/>
    <n v="2610"/>
  </r>
  <r>
    <x v="3"/>
    <x v="0"/>
    <x v="0"/>
    <n v="143735"/>
    <n v="66995"/>
    <n v="76740"/>
  </r>
  <r>
    <x v="3"/>
    <x v="0"/>
    <x v="1"/>
    <n v="188365"/>
    <n v="71410"/>
    <n v="116955"/>
  </r>
  <r>
    <x v="3"/>
    <x v="0"/>
    <x v="2"/>
    <n v="222691"/>
    <n v="85419"/>
    <n v="137272"/>
  </r>
  <r>
    <x v="3"/>
    <x v="0"/>
    <x v="3"/>
    <n v="212538"/>
    <n v="73611"/>
    <n v="138927"/>
  </r>
  <r>
    <x v="3"/>
    <x v="0"/>
    <x v="4"/>
    <n v="194993"/>
    <n v="85998"/>
    <n v="108995"/>
  </r>
  <r>
    <x v="3"/>
    <x v="1"/>
    <x v="0"/>
    <n v="169669"/>
    <n v="52299"/>
    <n v="117370"/>
  </r>
  <r>
    <x v="3"/>
    <x v="1"/>
    <x v="1"/>
    <n v="231774"/>
    <n v="59757"/>
    <n v="172017"/>
  </r>
  <r>
    <x v="3"/>
    <x v="1"/>
    <x v="2"/>
    <n v="259621"/>
    <n v="81340"/>
    <n v="178281"/>
  </r>
  <r>
    <x v="3"/>
    <x v="1"/>
    <x v="3"/>
    <n v="236444"/>
    <n v="68551"/>
    <n v="167893"/>
  </r>
  <r>
    <x v="3"/>
    <x v="1"/>
    <x v="4"/>
    <n v="207829"/>
    <n v="72706"/>
    <n v="135123"/>
  </r>
  <r>
    <x v="3"/>
    <x v="2"/>
    <x v="0"/>
    <n v="96336"/>
    <n v="31110"/>
    <n v="65226"/>
  </r>
  <r>
    <x v="3"/>
    <x v="2"/>
    <x v="1"/>
    <n v="70134"/>
    <n v="23046"/>
    <n v="47088"/>
  </r>
  <r>
    <x v="3"/>
    <x v="2"/>
    <x v="2"/>
    <n v="94670"/>
    <n v="25466"/>
    <n v="69204"/>
  </r>
  <r>
    <x v="3"/>
    <x v="2"/>
    <x v="3"/>
    <n v="101887"/>
    <n v="25596"/>
    <n v="76291"/>
  </r>
  <r>
    <x v="3"/>
    <x v="2"/>
    <x v="4"/>
    <n v="91215"/>
    <n v="30578"/>
    <n v="60637"/>
  </r>
  <r>
    <x v="3"/>
    <x v="3"/>
    <x v="0"/>
    <n v="249598"/>
    <n v="79409"/>
    <n v="170189"/>
  </r>
  <r>
    <x v="3"/>
    <x v="3"/>
    <x v="1"/>
    <n v="273427"/>
    <n v="68671"/>
    <n v="204756"/>
  </r>
  <r>
    <x v="3"/>
    <x v="3"/>
    <x v="2"/>
    <n v="370268"/>
    <n v="90242"/>
    <n v="280026"/>
  </r>
  <r>
    <x v="3"/>
    <x v="3"/>
    <x v="3"/>
    <n v="390864"/>
    <n v="78797"/>
    <n v="312067"/>
  </r>
  <r>
    <x v="3"/>
    <x v="3"/>
    <x v="4"/>
    <n v="346301"/>
    <n v="81557"/>
    <n v="264744"/>
  </r>
  <r>
    <x v="3"/>
    <x v="4"/>
    <x v="0"/>
    <n v="5617"/>
    <n v="655"/>
    <n v="4962"/>
  </r>
  <r>
    <x v="3"/>
    <x v="4"/>
    <x v="1"/>
    <n v="5034"/>
    <n v="471"/>
    <n v="4563"/>
  </r>
  <r>
    <x v="3"/>
    <x v="4"/>
    <x v="2"/>
    <n v="4593"/>
    <n v="358"/>
    <n v="4235"/>
  </r>
  <r>
    <x v="3"/>
    <x v="4"/>
    <x v="3"/>
    <n v="4274"/>
    <n v="322"/>
    <n v="3952"/>
  </r>
  <r>
    <x v="3"/>
    <x v="4"/>
    <x v="4"/>
    <n v="4294"/>
    <n v="385"/>
    <n v="3909"/>
  </r>
  <r>
    <x v="4"/>
    <x v="0"/>
    <x v="0"/>
    <n v="92300"/>
    <n v="31483"/>
    <n v="60817"/>
  </r>
  <r>
    <x v="4"/>
    <x v="0"/>
    <x v="1"/>
    <n v="120225"/>
    <n v="36774"/>
    <n v="83451"/>
  </r>
  <r>
    <x v="4"/>
    <x v="0"/>
    <x v="2"/>
    <n v="147987"/>
    <n v="45287"/>
    <n v="102700"/>
  </r>
  <r>
    <x v="4"/>
    <x v="0"/>
    <x v="3"/>
    <n v="141941"/>
    <n v="39095"/>
    <n v="102846"/>
  </r>
  <r>
    <x v="4"/>
    <x v="0"/>
    <x v="4"/>
    <n v="129400"/>
    <n v="43855"/>
    <n v="85545"/>
  </r>
  <r>
    <x v="4"/>
    <x v="1"/>
    <x v="0"/>
    <n v="102284"/>
    <n v="21572"/>
    <n v="80712"/>
  </r>
  <r>
    <x v="4"/>
    <x v="1"/>
    <x v="1"/>
    <n v="134783"/>
    <n v="29580"/>
    <n v="105203"/>
  </r>
  <r>
    <x v="4"/>
    <x v="1"/>
    <x v="2"/>
    <n v="147813"/>
    <n v="37382"/>
    <n v="110431"/>
  </r>
  <r>
    <x v="4"/>
    <x v="1"/>
    <x v="3"/>
    <n v="143968"/>
    <n v="33537"/>
    <n v="110431"/>
  </r>
  <r>
    <x v="4"/>
    <x v="1"/>
    <x v="4"/>
    <n v="127506"/>
    <n v="36926"/>
    <n v="90580"/>
  </r>
  <r>
    <x v="4"/>
    <x v="2"/>
    <x v="0"/>
    <n v="66978"/>
    <n v="12504"/>
    <n v="54474"/>
  </r>
  <r>
    <x v="4"/>
    <x v="2"/>
    <x v="1"/>
    <n v="57009"/>
    <n v="11269"/>
    <n v="45740"/>
  </r>
  <r>
    <x v="4"/>
    <x v="2"/>
    <x v="2"/>
    <n v="67831"/>
    <n v="12837"/>
    <n v="54994"/>
  </r>
  <r>
    <x v="4"/>
    <x v="2"/>
    <x v="3"/>
    <n v="68242"/>
    <n v="13589"/>
    <n v="54653"/>
  </r>
  <r>
    <x v="4"/>
    <x v="2"/>
    <x v="4"/>
    <n v="62739"/>
    <n v="16130"/>
    <n v="46609"/>
  </r>
  <r>
    <x v="4"/>
    <x v="3"/>
    <x v="0"/>
    <n v="135152"/>
    <n v="23903"/>
    <n v="111249"/>
  </r>
  <r>
    <x v="4"/>
    <x v="3"/>
    <x v="1"/>
    <n v="155063"/>
    <n v="24492"/>
    <n v="130571"/>
  </r>
  <r>
    <x v="4"/>
    <x v="3"/>
    <x v="2"/>
    <n v="203890"/>
    <n v="34232"/>
    <n v="169658"/>
  </r>
  <r>
    <x v="4"/>
    <x v="3"/>
    <x v="3"/>
    <n v="225182"/>
    <n v="32972"/>
    <n v="192210"/>
  </r>
  <r>
    <x v="4"/>
    <x v="3"/>
    <x v="4"/>
    <n v="188098"/>
    <n v="31921"/>
    <n v="156177"/>
  </r>
  <r>
    <x v="4"/>
    <x v="4"/>
    <x v="0"/>
    <n v="6676"/>
    <n v="476"/>
    <n v="6200"/>
  </r>
  <r>
    <x v="4"/>
    <x v="4"/>
    <x v="1"/>
    <n v="6130"/>
    <n v="376"/>
    <n v="5754"/>
  </r>
  <r>
    <x v="4"/>
    <x v="4"/>
    <x v="2"/>
    <n v="5847"/>
    <n v="377"/>
    <n v="5470"/>
  </r>
  <r>
    <x v="4"/>
    <x v="4"/>
    <x v="3"/>
    <n v="5477"/>
    <n v="401"/>
    <n v="5076"/>
  </r>
  <r>
    <x v="4"/>
    <x v="4"/>
    <x v="4"/>
    <n v="5236"/>
    <n v="426"/>
    <n v="4810"/>
  </r>
  <r>
    <x v="5"/>
    <x v="0"/>
    <x v="0"/>
    <n v="74016"/>
    <n v="21765"/>
    <n v="52251"/>
  </r>
  <r>
    <x v="5"/>
    <x v="0"/>
    <x v="1"/>
    <n v="93232"/>
    <n v="25319"/>
    <n v="67913"/>
  </r>
  <r>
    <x v="5"/>
    <x v="0"/>
    <x v="2"/>
    <n v="110310"/>
    <n v="31276"/>
    <n v="79034"/>
  </r>
  <r>
    <x v="5"/>
    <x v="0"/>
    <x v="3"/>
    <n v="107736"/>
    <n v="27694"/>
    <n v="80042"/>
  </r>
  <r>
    <x v="5"/>
    <x v="0"/>
    <x v="4"/>
    <n v="97627"/>
    <n v="30501"/>
    <n v="67126"/>
  </r>
  <r>
    <x v="5"/>
    <x v="1"/>
    <x v="0"/>
    <n v="70444"/>
    <n v="13088"/>
    <n v="57356"/>
  </r>
  <r>
    <x v="5"/>
    <x v="1"/>
    <x v="1"/>
    <n v="93802"/>
    <n v="17882"/>
    <n v="75920"/>
  </r>
  <r>
    <x v="5"/>
    <x v="1"/>
    <x v="2"/>
    <n v="101327"/>
    <n v="23000"/>
    <n v="78327"/>
  </r>
  <r>
    <x v="5"/>
    <x v="1"/>
    <x v="3"/>
    <n v="98670"/>
    <n v="21643"/>
    <n v="77027"/>
  </r>
  <r>
    <x v="5"/>
    <x v="1"/>
    <x v="4"/>
    <n v="83851"/>
    <n v="23103"/>
    <n v="60748"/>
  </r>
  <r>
    <x v="5"/>
    <x v="2"/>
    <x v="0"/>
    <n v="46822"/>
    <n v="11715"/>
    <n v="35107"/>
  </r>
  <r>
    <x v="5"/>
    <x v="2"/>
    <x v="1"/>
    <n v="37947"/>
    <n v="10304"/>
    <n v="27643"/>
  </r>
  <r>
    <x v="5"/>
    <x v="2"/>
    <x v="2"/>
    <n v="49745"/>
    <n v="11226"/>
    <n v="38519"/>
  </r>
  <r>
    <x v="5"/>
    <x v="2"/>
    <x v="3"/>
    <n v="51932"/>
    <n v="11372"/>
    <n v="40560"/>
  </r>
  <r>
    <x v="5"/>
    <x v="2"/>
    <x v="4"/>
    <n v="47920"/>
    <n v="13699"/>
    <n v="34221"/>
  </r>
  <r>
    <x v="5"/>
    <x v="3"/>
    <x v="0"/>
    <n v="63469"/>
    <n v="16858"/>
    <n v="46611"/>
  </r>
  <r>
    <x v="5"/>
    <x v="3"/>
    <x v="1"/>
    <n v="85327"/>
    <n v="18502"/>
    <n v="66825"/>
  </r>
  <r>
    <x v="5"/>
    <x v="3"/>
    <x v="2"/>
    <n v="126574"/>
    <n v="25023"/>
    <n v="101551"/>
  </r>
  <r>
    <x v="5"/>
    <x v="3"/>
    <x v="3"/>
    <n v="137783"/>
    <n v="25403"/>
    <n v="112380"/>
  </r>
  <r>
    <x v="5"/>
    <x v="3"/>
    <x v="4"/>
    <n v="119578"/>
    <n v="26437"/>
    <n v="93141"/>
  </r>
  <r>
    <x v="5"/>
    <x v="4"/>
    <x v="0"/>
    <n v="5880"/>
    <n v="398"/>
    <n v="5482"/>
  </r>
  <r>
    <x v="5"/>
    <x v="4"/>
    <x v="1"/>
    <n v="5349"/>
    <n v="275"/>
    <n v="5074"/>
  </r>
  <r>
    <x v="5"/>
    <x v="4"/>
    <x v="2"/>
    <n v="5231"/>
    <n v="266"/>
    <n v="4965"/>
  </r>
  <r>
    <x v="5"/>
    <x v="4"/>
    <x v="3"/>
    <n v="4981"/>
    <n v="235"/>
    <n v="4746"/>
  </r>
  <r>
    <x v="5"/>
    <x v="4"/>
    <x v="4"/>
    <n v="4866"/>
    <n v="313"/>
    <n v="4553"/>
  </r>
  <r>
    <x v="6"/>
    <x v="0"/>
    <x v="0"/>
    <n v="75573"/>
    <n v="39675"/>
    <n v="35898"/>
  </r>
  <r>
    <x v="6"/>
    <x v="0"/>
    <x v="1"/>
    <n v="111850"/>
    <n v="42619"/>
    <n v="69231"/>
  </r>
  <r>
    <x v="6"/>
    <x v="0"/>
    <x v="2"/>
    <n v="130255"/>
    <n v="51224"/>
    <n v="79031"/>
  </r>
  <r>
    <x v="6"/>
    <x v="0"/>
    <x v="3"/>
    <n v="124854"/>
    <n v="46502"/>
    <n v="78352"/>
  </r>
  <r>
    <x v="6"/>
    <x v="0"/>
    <x v="4"/>
    <n v="114894"/>
    <n v="49867"/>
    <n v="65027"/>
  </r>
  <r>
    <x v="6"/>
    <x v="1"/>
    <x v="0"/>
    <n v="95065"/>
    <n v="29952"/>
    <n v="65113"/>
  </r>
  <r>
    <x v="6"/>
    <x v="1"/>
    <x v="1"/>
    <n v="125023"/>
    <n v="33331"/>
    <n v="91692"/>
  </r>
  <r>
    <x v="6"/>
    <x v="1"/>
    <x v="2"/>
    <n v="136972"/>
    <n v="42748"/>
    <n v="94224"/>
  </r>
  <r>
    <x v="6"/>
    <x v="1"/>
    <x v="3"/>
    <n v="127894"/>
    <n v="38449"/>
    <n v="89445"/>
  </r>
  <r>
    <x v="6"/>
    <x v="1"/>
    <x v="4"/>
    <n v="111472"/>
    <n v="40373"/>
    <n v="71099"/>
  </r>
  <r>
    <x v="6"/>
    <x v="2"/>
    <x v="0"/>
    <n v="68500"/>
    <n v="19613"/>
    <n v="48887"/>
  </r>
  <r>
    <x v="6"/>
    <x v="2"/>
    <x v="1"/>
    <n v="54096"/>
    <n v="15629"/>
    <n v="38467"/>
  </r>
  <r>
    <x v="6"/>
    <x v="2"/>
    <x v="2"/>
    <n v="65435"/>
    <n v="18343"/>
    <n v="47092"/>
  </r>
  <r>
    <x v="6"/>
    <x v="2"/>
    <x v="3"/>
    <n v="73647"/>
    <n v="19121"/>
    <n v="54526"/>
  </r>
  <r>
    <x v="6"/>
    <x v="2"/>
    <x v="4"/>
    <n v="63642"/>
    <n v="19895"/>
    <n v="43747"/>
  </r>
  <r>
    <x v="6"/>
    <x v="3"/>
    <x v="0"/>
    <n v="132605"/>
    <n v="51985"/>
    <n v="80620"/>
  </r>
  <r>
    <x v="6"/>
    <x v="3"/>
    <x v="1"/>
    <n v="177114"/>
    <n v="51605"/>
    <n v="125509"/>
  </r>
  <r>
    <x v="6"/>
    <x v="3"/>
    <x v="2"/>
    <n v="260153"/>
    <n v="67362"/>
    <n v="192791"/>
  </r>
  <r>
    <x v="6"/>
    <x v="3"/>
    <x v="3"/>
    <n v="262171"/>
    <n v="60413"/>
    <n v="201758"/>
  </r>
  <r>
    <x v="6"/>
    <x v="3"/>
    <x v="4"/>
    <n v="215602"/>
    <n v="62205"/>
    <n v="153397"/>
  </r>
  <r>
    <x v="6"/>
    <x v="4"/>
    <x v="0"/>
    <n v="3928"/>
    <n v="383"/>
    <n v="3545"/>
  </r>
  <r>
    <x v="6"/>
    <x v="4"/>
    <x v="1"/>
    <n v="3504"/>
    <n v="346"/>
    <n v="3158"/>
  </r>
  <r>
    <x v="6"/>
    <x v="4"/>
    <x v="2"/>
    <n v="3239"/>
    <n v="239"/>
    <n v="3000"/>
  </r>
  <r>
    <x v="6"/>
    <x v="4"/>
    <x v="3"/>
    <n v="3060"/>
    <n v="270"/>
    <n v="2790"/>
  </r>
  <r>
    <x v="6"/>
    <x v="4"/>
    <x v="4"/>
    <n v="3067"/>
    <n v="280"/>
    <n v="2787"/>
  </r>
  <r>
    <x v="7"/>
    <x v="0"/>
    <x v="0"/>
    <n v="131612"/>
    <n v="70463"/>
    <n v="61149"/>
  </r>
  <r>
    <x v="7"/>
    <x v="0"/>
    <x v="1"/>
    <n v="188082"/>
    <n v="75854"/>
    <n v="112228"/>
  </r>
  <r>
    <x v="7"/>
    <x v="0"/>
    <x v="2"/>
    <n v="227982"/>
    <n v="92334"/>
    <n v="135648"/>
  </r>
  <r>
    <x v="7"/>
    <x v="0"/>
    <x v="3"/>
    <n v="208225"/>
    <n v="77751"/>
    <n v="130474"/>
  </r>
  <r>
    <x v="7"/>
    <x v="0"/>
    <x v="4"/>
    <n v="195163"/>
    <n v="90574"/>
    <n v="104589"/>
  </r>
  <r>
    <x v="7"/>
    <x v="1"/>
    <x v="0"/>
    <n v="156317"/>
    <n v="53204"/>
    <n v="103113"/>
  </r>
  <r>
    <x v="7"/>
    <x v="1"/>
    <x v="1"/>
    <n v="227110"/>
    <n v="59802"/>
    <n v="167308"/>
  </r>
  <r>
    <x v="7"/>
    <x v="1"/>
    <x v="2"/>
    <n v="247430"/>
    <n v="80099"/>
    <n v="167331"/>
  </r>
  <r>
    <x v="7"/>
    <x v="1"/>
    <x v="3"/>
    <n v="219190"/>
    <n v="67771"/>
    <n v="151419"/>
  </r>
  <r>
    <x v="7"/>
    <x v="1"/>
    <x v="4"/>
    <n v="191153"/>
    <n v="72555"/>
    <n v="118598"/>
  </r>
  <r>
    <x v="7"/>
    <x v="2"/>
    <x v="0"/>
    <n v="116703"/>
    <n v="33274"/>
    <n v="83429"/>
  </r>
  <r>
    <x v="7"/>
    <x v="2"/>
    <x v="1"/>
    <n v="93889"/>
    <n v="27497"/>
    <n v="66392"/>
  </r>
  <r>
    <x v="7"/>
    <x v="2"/>
    <x v="2"/>
    <n v="115446"/>
    <n v="32318"/>
    <n v="83128"/>
  </r>
  <r>
    <x v="7"/>
    <x v="2"/>
    <x v="3"/>
    <n v="126421"/>
    <n v="33407"/>
    <n v="93014"/>
  </r>
  <r>
    <x v="7"/>
    <x v="2"/>
    <x v="4"/>
    <n v="111470"/>
    <n v="36801"/>
    <n v="74669"/>
  </r>
  <r>
    <x v="7"/>
    <x v="3"/>
    <x v="0"/>
    <n v="265484"/>
    <n v="92756"/>
    <n v="172728"/>
  </r>
  <r>
    <x v="7"/>
    <x v="3"/>
    <x v="1"/>
    <n v="341215"/>
    <n v="90122"/>
    <n v="251093"/>
  </r>
  <r>
    <x v="7"/>
    <x v="3"/>
    <x v="2"/>
    <n v="444092"/>
    <n v="120438"/>
    <n v="323654"/>
  </r>
  <r>
    <x v="7"/>
    <x v="3"/>
    <x v="3"/>
    <n v="445230"/>
    <n v="101180"/>
    <n v="344050"/>
  </r>
  <r>
    <x v="7"/>
    <x v="3"/>
    <x v="4"/>
    <n v="381209"/>
    <n v="104106"/>
    <n v="277103"/>
  </r>
  <r>
    <x v="7"/>
    <x v="4"/>
    <x v="0"/>
    <n v="6119"/>
    <n v="590"/>
    <n v="5529"/>
  </r>
  <r>
    <x v="7"/>
    <x v="4"/>
    <x v="1"/>
    <n v="5406"/>
    <n v="458"/>
    <n v="4948"/>
  </r>
  <r>
    <x v="7"/>
    <x v="4"/>
    <x v="2"/>
    <n v="5224"/>
    <n v="403"/>
    <n v="4821"/>
  </r>
  <r>
    <x v="7"/>
    <x v="4"/>
    <x v="3"/>
    <n v="4879"/>
    <n v="390"/>
    <n v="4489"/>
  </r>
  <r>
    <x v="7"/>
    <x v="4"/>
    <x v="4"/>
    <n v="4907"/>
    <n v="460"/>
    <n v="4447"/>
  </r>
  <r>
    <x v="8"/>
    <x v="0"/>
    <x v="0"/>
    <n v="91665"/>
    <n v="28259"/>
    <n v="63406"/>
  </r>
  <r>
    <x v="8"/>
    <x v="0"/>
    <x v="1"/>
    <n v="107990"/>
    <n v="31702"/>
    <n v="76288"/>
  </r>
  <r>
    <x v="8"/>
    <x v="0"/>
    <x v="2"/>
    <n v="126381"/>
    <n v="39365"/>
    <n v="87016"/>
  </r>
  <r>
    <x v="8"/>
    <x v="0"/>
    <x v="3"/>
    <n v="118795"/>
    <n v="32901"/>
    <n v="85894"/>
  </r>
  <r>
    <x v="8"/>
    <x v="0"/>
    <x v="4"/>
    <n v="116454"/>
    <n v="37072"/>
    <n v="79382"/>
  </r>
  <r>
    <x v="8"/>
    <x v="1"/>
    <x v="0"/>
    <n v="99094"/>
    <n v="20483"/>
    <n v="78611"/>
  </r>
  <r>
    <x v="8"/>
    <x v="1"/>
    <x v="1"/>
    <n v="133069"/>
    <n v="27754"/>
    <n v="105315"/>
  </r>
  <r>
    <x v="8"/>
    <x v="1"/>
    <x v="2"/>
    <n v="143251"/>
    <n v="36953"/>
    <n v="106298"/>
  </r>
  <r>
    <x v="8"/>
    <x v="1"/>
    <x v="3"/>
    <n v="136590"/>
    <n v="32605"/>
    <n v="103985"/>
  </r>
  <r>
    <x v="8"/>
    <x v="1"/>
    <x v="4"/>
    <n v="120639"/>
    <n v="33831"/>
    <n v="86808"/>
  </r>
  <r>
    <x v="8"/>
    <x v="2"/>
    <x v="0"/>
    <n v="49728"/>
    <n v="13995"/>
    <n v="35733"/>
  </r>
  <r>
    <x v="8"/>
    <x v="2"/>
    <x v="1"/>
    <n v="39084"/>
    <n v="10536"/>
    <n v="28548"/>
  </r>
  <r>
    <x v="8"/>
    <x v="2"/>
    <x v="2"/>
    <n v="49548"/>
    <n v="10414"/>
    <n v="39134"/>
  </r>
  <r>
    <x v="8"/>
    <x v="2"/>
    <x v="3"/>
    <n v="55884"/>
    <n v="11814"/>
    <n v="44070"/>
  </r>
  <r>
    <x v="8"/>
    <x v="2"/>
    <x v="4"/>
    <n v="47975"/>
    <n v="13105"/>
    <n v="34870"/>
  </r>
  <r>
    <x v="8"/>
    <x v="3"/>
    <x v="0"/>
    <n v="138233"/>
    <n v="35606"/>
    <n v="102627"/>
  </r>
  <r>
    <x v="8"/>
    <x v="3"/>
    <x v="1"/>
    <n v="158659"/>
    <n v="31615"/>
    <n v="127044"/>
  </r>
  <r>
    <x v="8"/>
    <x v="3"/>
    <x v="2"/>
    <n v="212026"/>
    <n v="39570"/>
    <n v="172456"/>
  </r>
  <r>
    <x v="8"/>
    <x v="3"/>
    <x v="3"/>
    <n v="221747"/>
    <n v="34853"/>
    <n v="186894"/>
  </r>
  <r>
    <x v="8"/>
    <x v="3"/>
    <x v="4"/>
    <n v="196965"/>
    <n v="34591"/>
    <n v="162374"/>
  </r>
  <r>
    <x v="8"/>
    <x v="4"/>
    <x v="0"/>
    <n v="6943"/>
    <n v="328"/>
    <n v="6615"/>
  </r>
  <r>
    <x v="8"/>
    <x v="4"/>
    <x v="1"/>
    <n v="6480"/>
    <n v="239"/>
    <n v="6241"/>
  </r>
  <r>
    <x v="8"/>
    <x v="4"/>
    <x v="2"/>
    <n v="6224"/>
    <n v="247"/>
    <n v="5977"/>
  </r>
  <r>
    <x v="8"/>
    <x v="4"/>
    <x v="3"/>
    <n v="6017"/>
    <n v="242"/>
    <n v="5775"/>
  </r>
  <r>
    <x v="8"/>
    <x v="4"/>
    <x v="4"/>
    <n v="5918"/>
    <n v="334"/>
    <n v="5584"/>
  </r>
  <r>
    <x v="9"/>
    <x v="0"/>
    <x v="0"/>
    <n v="64407"/>
    <n v="26381"/>
    <n v="38026"/>
  </r>
  <r>
    <x v="9"/>
    <x v="0"/>
    <x v="1"/>
    <n v="84259"/>
    <n v="26946"/>
    <n v="57313"/>
  </r>
  <r>
    <x v="9"/>
    <x v="0"/>
    <x v="2"/>
    <n v="93530"/>
    <n v="32159"/>
    <n v="61371"/>
  </r>
  <r>
    <x v="9"/>
    <x v="0"/>
    <x v="3"/>
    <n v="89890"/>
    <n v="29154"/>
    <n v="60736"/>
  </r>
  <r>
    <x v="9"/>
    <x v="0"/>
    <x v="4"/>
    <n v="87947"/>
    <n v="34200"/>
    <n v="53747"/>
  </r>
  <r>
    <x v="9"/>
    <x v="1"/>
    <x v="0"/>
    <n v="73822"/>
    <n v="20441"/>
    <n v="53381"/>
  </r>
  <r>
    <x v="9"/>
    <x v="1"/>
    <x v="1"/>
    <n v="98460"/>
    <n v="21504"/>
    <n v="76956"/>
  </r>
  <r>
    <x v="9"/>
    <x v="1"/>
    <x v="2"/>
    <n v="108212"/>
    <n v="29637"/>
    <n v="78575"/>
  </r>
  <r>
    <x v="9"/>
    <x v="1"/>
    <x v="3"/>
    <n v="101149"/>
    <n v="26428"/>
    <n v="74721"/>
  </r>
  <r>
    <x v="9"/>
    <x v="1"/>
    <x v="4"/>
    <n v="90158"/>
    <n v="28377"/>
    <n v="61781"/>
  </r>
  <r>
    <x v="9"/>
    <x v="2"/>
    <x v="0"/>
    <n v="56268"/>
    <n v="12731"/>
    <n v="43537"/>
  </r>
  <r>
    <x v="9"/>
    <x v="2"/>
    <x v="1"/>
    <n v="44023"/>
    <n v="10770"/>
    <n v="33253"/>
  </r>
  <r>
    <x v="9"/>
    <x v="2"/>
    <x v="2"/>
    <n v="52126"/>
    <n v="12759"/>
    <n v="39367"/>
  </r>
  <r>
    <x v="9"/>
    <x v="2"/>
    <x v="3"/>
    <n v="54786"/>
    <n v="13873"/>
    <n v="40913"/>
  </r>
  <r>
    <x v="9"/>
    <x v="2"/>
    <x v="4"/>
    <n v="50758"/>
    <n v="16693"/>
    <n v="34065"/>
  </r>
  <r>
    <x v="9"/>
    <x v="3"/>
    <x v="0"/>
    <n v="122047"/>
    <n v="37890"/>
    <n v="84157"/>
  </r>
  <r>
    <x v="9"/>
    <x v="3"/>
    <x v="1"/>
    <n v="143012"/>
    <n v="35245"/>
    <n v="107767"/>
  </r>
  <r>
    <x v="9"/>
    <x v="3"/>
    <x v="2"/>
    <n v="199392"/>
    <n v="45049"/>
    <n v="154343"/>
  </r>
  <r>
    <x v="9"/>
    <x v="3"/>
    <x v="3"/>
    <n v="194947"/>
    <n v="42505"/>
    <n v="152442"/>
  </r>
  <r>
    <x v="9"/>
    <x v="3"/>
    <x v="4"/>
    <n v="187527"/>
    <n v="46141"/>
    <n v="141386"/>
  </r>
  <r>
    <x v="9"/>
    <x v="4"/>
    <x v="0"/>
    <n v="2660"/>
    <n v="330"/>
    <n v="2330"/>
  </r>
  <r>
    <x v="9"/>
    <x v="4"/>
    <x v="1"/>
    <n v="2334"/>
    <n v="245"/>
    <n v="2089"/>
  </r>
  <r>
    <x v="9"/>
    <x v="4"/>
    <x v="2"/>
    <n v="2184"/>
    <n v="174"/>
    <n v="2010"/>
  </r>
  <r>
    <x v="9"/>
    <x v="4"/>
    <x v="3"/>
    <n v="2028"/>
    <n v="167"/>
    <n v="1861"/>
  </r>
  <r>
    <x v="9"/>
    <x v="4"/>
    <x v="4"/>
    <n v="2075"/>
    <n v="193"/>
    <n v="1882"/>
  </r>
  <r>
    <x v="10"/>
    <x v="0"/>
    <x v="0"/>
    <n v="50903"/>
    <n v="18499"/>
    <n v="32404"/>
  </r>
  <r>
    <x v="10"/>
    <x v="0"/>
    <x v="1"/>
    <n v="65663"/>
    <n v="18848"/>
    <n v="46815"/>
  </r>
  <r>
    <x v="10"/>
    <x v="0"/>
    <x v="2"/>
    <n v="79951"/>
    <n v="23156"/>
    <n v="56795"/>
  </r>
  <r>
    <x v="10"/>
    <x v="0"/>
    <x v="3"/>
    <n v="76546"/>
    <n v="19997"/>
    <n v="56549"/>
  </r>
  <r>
    <x v="10"/>
    <x v="0"/>
    <x v="4"/>
    <n v="70997"/>
    <n v="24008"/>
    <n v="46989"/>
  </r>
  <r>
    <x v="10"/>
    <x v="1"/>
    <x v="0"/>
    <n v="56943"/>
    <n v="14816"/>
    <n v="42127"/>
  </r>
  <r>
    <x v="10"/>
    <x v="1"/>
    <x v="1"/>
    <n v="73426"/>
    <n v="14755"/>
    <n v="58671"/>
  </r>
  <r>
    <x v="10"/>
    <x v="1"/>
    <x v="2"/>
    <n v="81743"/>
    <n v="21250"/>
    <n v="60493"/>
  </r>
  <r>
    <x v="10"/>
    <x v="1"/>
    <x v="3"/>
    <n v="75198"/>
    <n v="17778"/>
    <n v="57420"/>
  </r>
  <r>
    <x v="10"/>
    <x v="1"/>
    <x v="4"/>
    <n v="68234"/>
    <n v="20001"/>
    <n v="48233"/>
  </r>
  <r>
    <x v="10"/>
    <x v="2"/>
    <x v="0"/>
    <n v="49245"/>
    <n v="13798"/>
    <n v="35447"/>
  </r>
  <r>
    <x v="10"/>
    <x v="2"/>
    <x v="1"/>
    <n v="37076"/>
    <n v="10260"/>
    <n v="26816"/>
  </r>
  <r>
    <x v="10"/>
    <x v="2"/>
    <x v="2"/>
    <n v="47444"/>
    <n v="11906"/>
    <n v="35538"/>
  </r>
  <r>
    <x v="10"/>
    <x v="2"/>
    <x v="3"/>
    <n v="53077"/>
    <n v="11390"/>
    <n v="41687"/>
  </r>
  <r>
    <x v="10"/>
    <x v="2"/>
    <x v="4"/>
    <n v="49613"/>
    <n v="14679"/>
    <n v="34934"/>
  </r>
  <r>
    <x v="10"/>
    <x v="3"/>
    <x v="0"/>
    <n v="98629"/>
    <n v="40496"/>
    <n v="58133"/>
  </r>
  <r>
    <x v="10"/>
    <x v="3"/>
    <x v="1"/>
    <n v="123117"/>
    <n v="34257"/>
    <n v="88860"/>
  </r>
  <r>
    <x v="10"/>
    <x v="3"/>
    <x v="2"/>
    <n v="182504"/>
    <n v="48033"/>
    <n v="134471"/>
  </r>
  <r>
    <x v="10"/>
    <x v="3"/>
    <x v="3"/>
    <n v="178743"/>
    <n v="41252"/>
    <n v="137491"/>
  </r>
  <r>
    <x v="10"/>
    <x v="3"/>
    <x v="4"/>
    <n v="166168"/>
    <n v="42723"/>
    <n v="123445"/>
  </r>
  <r>
    <x v="10"/>
    <x v="4"/>
    <x v="0"/>
    <n v="2292"/>
    <n v="231"/>
    <n v="2061"/>
  </r>
  <r>
    <x v="10"/>
    <x v="4"/>
    <x v="1"/>
    <n v="2032"/>
    <n v="154"/>
    <n v="1878"/>
  </r>
  <r>
    <x v="10"/>
    <x v="4"/>
    <x v="2"/>
    <n v="1973"/>
    <n v="113"/>
    <n v="1860"/>
  </r>
  <r>
    <x v="10"/>
    <x v="4"/>
    <x v="3"/>
    <n v="1868"/>
    <n v="124"/>
    <n v="1744"/>
  </r>
  <r>
    <x v="10"/>
    <x v="4"/>
    <x v="4"/>
    <n v="1908"/>
    <n v="116"/>
    <n v="1792"/>
  </r>
  <r>
    <x v="11"/>
    <x v="0"/>
    <x v="0"/>
    <n v="144629"/>
    <n v="85537"/>
    <n v="59092"/>
  </r>
  <r>
    <x v="11"/>
    <x v="0"/>
    <x v="1"/>
    <n v="169196"/>
    <n v="89978"/>
    <n v="79218"/>
  </r>
  <r>
    <x v="11"/>
    <x v="0"/>
    <x v="2"/>
    <n v="212213"/>
    <n v="102230"/>
    <n v="109983"/>
  </r>
  <r>
    <x v="11"/>
    <x v="0"/>
    <x v="3"/>
    <n v="213670"/>
    <n v="94415"/>
    <n v="119255"/>
  </r>
  <r>
    <x v="11"/>
    <x v="0"/>
    <x v="4"/>
    <n v="193565"/>
    <n v="104027"/>
    <n v="89538"/>
  </r>
  <r>
    <x v="11"/>
    <x v="1"/>
    <x v="0"/>
    <n v="146195"/>
    <n v="63376"/>
    <n v="82819"/>
  </r>
  <r>
    <x v="11"/>
    <x v="1"/>
    <x v="1"/>
    <n v="191721"/>
    <n v="66877"/>
    <n v="124844"/>
  </r>
  <r>
    <x v="11"/>
    <x v="1"/>
    <x v="2"/>
    <n v="213419"/>
    <n v="82878"/>
    <n v="130541"/>
  </r>
  <r>
    <x v="11"/>
    <x v="1"/>
    <x v="3"/>
    <n v="194255"/>
    <n v="76540"/>
    <n v="117715"/>
  </r>
  <r>
    <x v="11"/>
    <x v="1"/>
    <x v="4"/>
    <n v="168615"/>
    <n v="84488"/>
    <n v="84127"/>
  </r>
  <r>
    <x v="11"/>
    <x v="2"/>
    <x v="0"/>
    <n v="112563"/>
    <n v="31207"/>
    <n v="81356"/>
  </r>
  <r>
    <x v="11"/>
    <x v="2"/>
    <x v="1"/>
    <n v="85822"/>
    <n v="22909"/>
    <n v="62913"/>
  </r>
  <r>
    <x v="11"/>
    <x v="2"/>
    <x v="2"/>
    <n v="105499"/>
    <n v="25514"/>
    <n v="79985"/>
  </r>
  <r>
    <x v="11"/>
    <x v="2"/>
    <x v="3"/>
    <n v="106359"/>
    <n v="27773"/>
    <n v="78586"/>
  </r>
  <r>
    <x v="11"/>
    <x v="2"/>
    <x v="4"/>
    <n v="97035"/>
    <n v="32221"/>
    <n v="64814"/>
  </r>
  <r>
    <x v="11"/>
    <x v="3"/>
    <x v="0"/>
    <n v="265568"/>
    <n v="101564"/>
    <n v="164004"/>
  </r>
  <r>
    <x v="11"/>
    <x v="3"/>
    <x v="1"/>
    <n v="307341"/>
    <n v="94049"/>
    <n v="213292"/>
  </r>
  <r>
    <x v="11"/>
    <x v="3"/>
    <x v="2"/>
    <n v="397052"/>
    <n v="109825"/>
    <n v="287227"/>
  </r>
  <r>
    <x v="11"/>
    <x v="3"/>
    <x v="3"/>
    <n v="412413"/>
    <n v="95786"/>
    <n v="316627"/>
  </r>
  <r>
    <x v="11"/>
    <x v="3"/>
    <x v="4"/>
    <n v="332739"/>
    <n v="100253"/>
    <n v="232486"/>
  </r>
  <r>
    <x v="11"/>
    <x v="4"/>
    <x v="0"/>
    <n v="2384"/>
    <n v="633"/>
    <n v="1751"/>
  </r>
  <r>
    <x v="11"/>
    <x v="4"/>
    <x v="1"/>
    <n v="2065"/>
    <n v="480"/>
    <n v="1585"/>
  </r>
  <r>
    <x v="11"/>
    <x v="4"/>
    <x v="2"/>
    <n v="2105"/>
    <n v="297"/>
    <n v="1808"/>
  </r>
  <r>
    <x v="11"/>
    <x v="4"/>
    <x v="3"/>
    <n v="1962"/>
    <n v="296"/>
    <n v="1666"/>
  </r>
  <r>
    <x v="11"/>
    <x v="4"/>
    <x v="4"/>
    <n v="2059"/>
    <n v="419"/>
    <n v="1640"/>
  </r>
  <r>
    <x v="12"/>
    <x v="0"/>
    <x v="0"/>
    <n v="59197"/>
    <n v="21570"/>
    <n v="37627"/>
  </r>
  <r>
    <x v="12"/>
    <x v="0"/>
    <x v="1"/>
    <n v="68332"/>
    <n v="22099"/>
    <n v="46233"/>
  </r>
  <r>
    <x v="12"/>
    <x v="0"/>
    <x v="2"/>
    <n v="82075"/>
    <n v="25365"/>
    <n v="56710"/>
  </r>
  <r>
    <x v="12"/>
    <x v="0"/>
    <x v="3"/>
    <n v="79076"/>
    <n v="22765"/>
    <n v="56311"/>
  </r>
  <r>
    <x v="12"/>
    <x v="0"/>
    <x v="4"/>
    <n v="78526"/>
    <n v="25252"/>
    <n v="53274"/>
  </r>
  <r>
    <x v="12"/>
    <x v="1"/>
    <x v="0"/>
    <n v="77315"/>
    <n v="17409"/>
    <n v="59906"/>
  </r>
  <r>
    <x v="12"/>
    <x v="1"/>
    <x v="1"/>
    <n v="97830"/>
    <n v="18522"/>
    <n v="79308"/>
  </r>
  <r>
    <x v="12"/>
    <x v="1"/>
    <x v="2"/>
    <n v="107276"/>
    <n v="22918"/>
    <n v="84358"/>
  </r>
  <r>
    <x v="12"/>
    <x v="1"/>
    <x v="3"/>
    <n v="103507"/>
    <n v="22200"/>
    <n v="81307"/>
  </r>
  <r>
    <x v="12"/>
    <x v="1"/>
    <x v="4"/>
    <n v="94220"/>
    <n v="25959"/>
    <n v="68261"/>
  </r>
  <r>
    <x v="12"/>
    <x v="2"/>
    <x v="0"/>
    <n v="50714"/>
    <n v="15153"/>
    <n v="35561"/>
  </r>
  <r>
    <x v="12"/>
    <x v="2"/>
    <x v="1"/>
    <n v="39546"/>
    <n v="9907"/>
    <n v="29639"/>
  </r>
  <r>
    <x v="12"/>
    <x v="2"/>
    <x v="2"/>
    <n v="53686"/>
    <n v="10994"/>
    <n v="42692"/>
  </r>
  <r>
    <x v="12"/>
    <x v="2"/>
    <x v="3"/>
    <n v="57265"/>
    <n v="11551"/>
    <n v="45714"/>
  </r>
  <r>
    <x v="12"/>
    <x v="2"/>
    <x v="4"/>
    <n v="53923"/>
    <n v="14585"/>
    <n v="39338"/>
  </r>
  <r>
    <x v="12"/>
    <x v="3"/>
    <x v="0"/>
    <n v="133350"/>
    <n v="45539"/>
    <n v="87811"/>
  </r>
  <r>
    <x v="12"/>
    <x v="3"/>
    <x v="1"/>
    <n v="157560"/>
    <n v="40904"/>
    <n v="116656"/>
  </r>
  <r>
    <x v="12"/>
    <x v="3"/>
    <x v="2"/>
    <n v="213843"/>
    <n v="50999"/>
    <n v="162844"/>
  </r>
  <r>
    <x v="12"/>
    <x v="3"/>
    <x v="3"/>
    <n v="224946"/>
    <n v="44790"/>
    <n v="180156"/>
  </r>
  <r>
    <x v="12"/>
    <x v="3"/>
    <x v="4"/>
    <n v="202873"/>
    <n v="47694"/>
    <n v="155179"/>
  </r>
  <r>
    <x v="12"/>
    <x v="4"/>
    <x v="0"/>
    <n v="4167"/>
    <n v="327"/>
    <n v="3840"/>
  </r>
  <r>
    <x v="12"/>
    <x v="4"/>
    <x v="1"/>
    <n v="3757"/>
    <n v="181"/>
    <n v="3576"/>
  </r>
  <r>
    <x v="12"/>
    <x v="4"/>
    <x v="2"/>
    <n v="3574"/>
    <n v="159"/>
    <n v="3415"/>
  </r>
  <r>
    <x v="12"/>
    <x v="4"/>
    <x v="3"/>
    <n v="3424"/>
    <n v="149"/>
    <n v="3275"/>
  </r>
  <r>
    <x v="12"/>
    <x v="4"/>
    <x v="4"/>
    <n v="3417"/>
    <n v="243"/>
    <n v="3174"/>
  </r>
  <r>
    <x v="13"/>
    <x v="0"/>
    <x v="0"/>
    <n v="40149"/>
    <n v="6407"/>
    <n v="33742"/>
  </r>
  <r>
    <x v="13"/>
    <x v="0"/>
    <x v="1"/>
    <n v="45301"/>
    <n v="6717"/>
    <n v="38584"/>
  </r>
  <r>
    <x v="13"/>
    <x v="0"/>
    <x v="2"/>
    <n v="45020"/>
    <n v="8226"/>
    <n v="36794"/>
  </r>
  <r>
    <x v="13"/>
    <x v="0"/>
    <x v="3"/>
    <n v="46363"/>
    <n v="7819"/>
    <n v="38544"/>
  </r>
  <r>
    <x v="13"/>
    <x v="0"/>
    <x v="4"/>
    <n v="43938"/>
    <n v="7821"/>
    <n v="36117"/>
  </r>
  <r>
    <x v="13"/>
    <x v="1"/>
    <x v="0"/>
    <n v="45941"/>
    <n v="5960"/>
    <n v="39981"/>
  </r>
  <r>
    <x v="13"/>
    <x v="1"/>
    <x v="1"/>
    <n v="52581"/>
    <n v="5341"/>
    <n v="47240"/>
  </r>
  <r>
    <x v="13"/>
    <x v="1"/>
    <x v="2"/>
    <n v="49222"/>
    <n v="6040"/>
    <n v="43182"/>
  </r>
  <r>
    <x v="13"/>
    <x v="1"/>
    <x v="3"/>
    <n v="53187"/>
    <n v="6261"/>
    <n v="46926"/>
  </r>
  <r>
    <x v="13"/>
    <x v="1"/>
    <x v="4"/>
    <n v="50099"/>
    <n v="5596"/>
    <n v="44503"/>
  </r>
  <r>
    <x v="13"/>
    <x v="2"/>
    <x v="0"/>
    <n v="27071"/>
    <n v="5116"/>
    <n v="21955"/>
  </r>
  <r>
    <x v="13"/>
    <x v="2"/>
    <x v="1"/>
    <n v="27101"/>
    <n v="4538"/>
    <n v="22563"/>
  </r>
  <r>
    <x v="13"/>
    <x v="2"/>
    <x v="2"/>
    <n v="27878"/>
    <n v="4793"/>
    <n v="23085"/>
  </r>
  <r>
    <x v="13"/>
    <x v="2"/>
    <x v="3"/>
    <n v="26660"/>
    <n v="4847"/>
    <n v="21813"/>
  </r>
  <r>
    <x v="13"/>
    <x v="2"/>
    <x v="4"/>
    <n v="25537"/>
    <n v="5024"/>
    <n v="20513"/>
  </r>
  <r>
    <x v="13"/>
    <x v="3"/>
    <x v="0"/>
    <n v="58710"/>
    <n v="9198"/>
    <n v="49512"/>
  </r>
  <r>
    <x v="13"/>
    <x v="3"/>
    <x v="1"/>
    <n v="62804"/>
    <n v="7971"/>
    <n v="54833"/>
  </r>
  <r>
    <x v="13"/>
    <x v="3"/>
    <x v="2"/>
    <n v="61974"/>
    <n v="8131"/>
    <n v="53843"/>
  </r>
  <r>
    <x v="13"/>
    <x v="3"/>
    <x v="3"/>
    <n v="60431"/>
    <n v="7806"/>
    <n v="52625"/>
  </r>
  <r>
    <x v="13"/>
    <x v="3"/>
    <x v="4"/>
    <n v="56130"/>
    <n v="7724"/>
    <n v="48406"/>
  </r>
  <r>
    <x v="13"/>
    <x v="4"/>
    <x v="0"/>
    <n v="2654"/>
    <n v="154"/>
    <n v="2500"/>
  </r>
  <r>
    <x v="13"/>
    <x v="4"/>
    <x v="1"/>
    <n v="2525"/>
    <n v="112"/>
    <n v="2413"/>
  </r>
  <r>
    <x v="13"/>
    <x v="4"/>
    <x v="2"/>
    <n v="2436"/>
    <n v="88"/>
    <n v="2348"/>
  </r>
  <r>
    <x v="13"/>
    <x v="4"/>
    <x v="3"/>
    <n v="2355"/>
    <n v="75"/>
    <n v="2280"/>
  </r>
  <r>
    <x v="13"/>
    <x v="4"/>
    <x v="4"/>
    <n v="2304"/>
    <n v="45"/>
    <n v="2259"/>
  </r>
  <r>
    <x v="14"/>
    <x v="0"/>
    <x v="0"/>
    <n v="115458"/>
    <n v="60816"/>
    <n v="54642"/>
  </r>
  <r>
    <x v="14"/>
    <x v="0"/>
    <x v="1"/>
    <n v="143104"/>
    <n v="61057"/>
    <n v="82047"/>
  </r>
  <r>
    <x v="14"/>
    <x v="0"/>
    <x v="2"/>
    <n v="167837"/>
    <n v="72680"/>
    <n v="95157"/>
  </r>
  <r>
    <x v="14"/>
    <x v="0"/>
    <x v="3"/>
    <n v="158010"/>
    <n v="64773"/>
    <n v="93237"/>
  </r>
  <r>
    <x v="14"/>
    <x v="0"/>
    <x v="4"/>
    <n v="158284"/>
    <n v="70394"/>
    <n v="87890"/>
  </r>
  <r>
    <x v="14"/>
    <x v="1"/>
    <x v="0"/>
    <n v="134119"/>
    <n v="53479"/>
    <n v="80640"/>
  </r>
  <r>
    <x v="14"/>
    <x v="1"/>
    <x v="1"/>
    <n v="166894"/>
    <n v="48868"/>
    <n v="118026"/>
  </r>
  <r>
    <x v="14"/>
    <x v="1"/>
    <x v="2"/>
    <n v="182122"/>
    <n v="62658"/>
    <n v="119464"/>
  </r>
  <r>
    <x v="14"/>
    <x v="1"/>
    <x v="3"/>
    <n v="164404"/>
    <n v="55098"/>
    <n v="109306"/>
  </r>
  <r>
    <x v="14"/>
    <x v="1"/>
    <x v="4"/>
    <n v="153560"/>
    <n v="61295"/>
    <n v="92265"/>
  </r>
  <r>
    <x v="14"/>
    <x v="2"/>
    <x v="0"/>
    <n v="82101"/>
    <n v="22539"/>
    <n v="59562"/>
  </r>
  <r>
    <x v="14"/>
    <x v="2"/>
    <x v="1"/>
    <n v="63964"/>
    <n v="16509"/>
    <n v="47455"/>
  </r>
  <r>
    <x v="14"/>
    <x v="2"/>
    <x v="2"/>
    <n v="76286"/>
    <n v="18320"/>
    <n v="57966"/>
  </r>
  <r>
    <x v="14"/>
    <x v="2"/>
    <x v="3"/>
    <n v="78863"/>
    <n v="20127"/>
    <n v="58736"/>
  </r>
  <r>
    <x v="14"/>
    <x v="2"/>
    <x v="4"/>
    <n v="71727"/>
    <n v="22196"/>
    <n v="49531"/>
  </r>
  <r>
    <x v="14"/>
    <x v="3"/>
    <x v="0"/>
    <n v="210358"/>
    <n v="78069"/>
    <n v="132289"/>
  </r>
  <r>
    <x v="14"/>
    <x v="3"/>
    <x v="1"/>
    <n v="251196"/>
    <n v="66304"/>
    <n v="184892"/>
  </r>
  <r>
    <x v="14"/>
    <x v="3"/>
    <x v="2"/>
    <n v="328397"/>
    <n v="81559"/>
    <n v="246838"/>
  </r>
  <r>
    <x v="14"/>
    <x v="3"/>
    <x v="3"/>
    <n v="353106"/>
    <n v="70804"/>
    <n v="282302"/>
  </r>
  <r>
    <x v="14"/>
    <x v="3"/>
    <x v="4"/>
    <n v="332478"/>
    <n v="71096"/>
    <n v="261382"/>
  </r>
  <r>
    <x v="14"/>
    <x v="4"/>
    <x v="0"/>
    <n v="5964"/>
    <n v="582"/>
    <n v="5382"/>
  </r>
  <r>
    <x v="14"/>
    <x v="4"/>
    <x v="1"/>
    <n v="5267"/>
    <n v="428"/>
    <n v="4839"/>
  </r>
  <r>
    <x v="14"/>
    <x v="4"/>
    <x v="2"/>
    <n v="4964"/>
    <n v="396"/>
    <n v="4568"/>
  </r>
  <r>
    <x v="14"/>
    <x v="4"/>
    <x v="3"/>
    <n v="4587"/>
    <n v="334"/>
    <n v="4253"/>
  </r>
  <r>
    <x v="14"/>
    <x v="4"/>
    <x v="4"/>
    <n v="4497"/>
    <n v="369"/>
    <n v="4128"/>
  </r>
  <r>
    <x v="15"/>
    <x v="0"/>
    <x v="0"/>
    <n v="118495"/>
    <n v="61203"/>
    <n v="57292"/>
  </r>
  <r>
    <x v="15"/>
    <x v="0"/>
    <x v="1"/>
    <n v="156765"/>
    <n v="65518"/>
    <n v="91247"/>
  </r>
  <r>
    <x v="15"/>
    <x v="0"/>
    <x v="2"/>
    <n v="182094"/>
    <n v="75355"/>
    <n v="106739"/>
  </r>
  <r>
    <x v="15"/>
    <x v="0"/>
    <x v="3"/>
    <n v="173676"/>
    <n v="64033"/>
    <n v="109643"/>
  </r>
  <r>
    <x v="15"/>
    <x v="0"/>
    <x v="4"/>
    <n v="164191"/>
    <n v="75466"/>
    <n v="88725"/>
  </r>
  <r>
    <x v="15"/>
    <x v="1"/>
    <x v="0"/>
    <n v="149228"/>
    <n v="48869"/>
    <n v="100359"/>
  </r>
  <r>
    <x v="15"/>
    <x v="1"/>
    <x v="1"/>
    <n v="210269"/>
    <n v="55496"/>
    <n v="154773"/>
  </r>
  <r>
    <x v="15"/>
    <x v="1"/>
    <x v="2"/>
    <n v="225287"/>
    <n v="72883"/>
    <n v="152404"/>
  </r>
  <r>
    <x v="15"/>
    <x v="1"/>
    <x v="3"/>
    <n v="208789"/>
    <n v="60595"/>
    <n v="148194"/>
  </r>
  <r>
    <x v="15"/>
    <x v="1"/>
    <x v="4"/>
    <n v="183316"/>
    <n v="63483"/>
    <n v="119833"/>
  </r>
  <r>
    <x v="15"/>
    <x v="2"/>
    <x v="0"/>
    <n v="101828"/>
    <n v="30102"/>
    <n v="71726"/>
  </r>
  <r>
    <x v="15"/>
    <x v="2"/>
    <x v="1"/>
    <n v="76934"/>
    <n v="22834"/>
    <n v="54100"/>
  </r>
  <r>
    <x v="15"/>
    <x v="2"/>
    <x v="2"/>
    <n v="99273"/>
    <n v="27566"/>
    <n v="71707"/>
  </r>
  <r>
    <x v="15"/>
    <x v="2"/>
    <x v="3"/>
    <n v="104930"/>
    <n v="26628"/>
    <n v="78302"/>
  </r>
  <r>
    <x v="15"/>
    <x v="2"/>
    <x v="4"/>
    <n v="95346"/>
    <n v="31308"/>
    <n v="64038"/>
  </r>
  <r>
    <x v="15"/>
    <x v="3"/>
    <x v="0"/>
    <n v="232561"/>
    <n v="92419"/>
    <n v="140142"/>
  </r>
  <r>
    <x v="15"/>
    <x v="3"/>
    <x v="1"/>
    <n v="294465"/>
    <n v="89267"/>
    <n v="205198"/>
  </r>
  <r>
    <x v="15"/>
    <x v="3"/>
    <x v="2"/>
    <n v="408904"/>
    <n v="112169"/>
    <n v="296735"/>
  </r>
  <r>
    <x v="15"/>
    <x v="3"/>
    <x v="3"/>
    <n v="402325"/>
    <n v="93836"/>
    <n v="308489"/>
  </r>
  <r>
    <x v="15"/>
    <x v="3"/>
    <x v="4"/>
    <n v="349109"/>
    <n v="93640"/>
    <n v="255469"/>
  </r>
  <r>
    <x v="15"/>
    <x v="4"/>
    <x v="0"/>
    <n v="6310"/>
    <n v="500"/>
    <n v="5810"/>
  </r>
  <r>
    <x v="15"/>
    <x v="4"/>
    <x v="1"/>
    <n v="5504"/>
    <n v="401"/>
    <n v="5103"/>
  </r>
  <r>
    <x v="15"/>
    <x v="4"/>
    <x v="2"/>
    <n v="5249"/>
    <n v="317"/>
    <n v="4932"/>
  </r>
  <r>
    <x v="15"/>
    <x v="4"/>
    <x v="3"/>
    <n v="4983"/>
    <n v="254"/>
    <n v="4729"/>
  </r>
  <r>
    <x v="15"/>
    <x v="4"/>
    <x v="4"/>
    <n v="4974"/>
    <n v="335"/>
    <n v="4639"/>
  </r>
  <r>
    <x v="16"/>
    <x v="0"/>
    <x v="0"/>
    <n v="51301"/>
    <n v="12986"/>
    <n v="38315"/>
  </r>
  <r>
    <x v="16"/>
    <x v="0"/>
    <x v="1"/>
    <n v="66054"/>
    <n v="13285"/>
    <n v="52769"/>
  </r>
  <r>
    <x v="16"/>
    <x v="0"/>
    <x v="2"/>
    <n v="73592"/>
    <n v="15644"/>
    <n v="57948"/>
  </r>
  <r>
    <x v="16"/>
    <x v="0"/>
    <x v="3"/>
    <n v="72574"/>
    <n v="15123"/>
    <n v="57451"/>
  </r>
  <r>
    <x v="16"/>
    <x v="0"/>
    <x v="4"/>
    <n v="67439"/>
    <n v="14714"/>
    <n v="52725"/>
  </r>
  <r>
    <x v="16"/>
    <x v="1"/>
    <x v="0"/>
    <n v="58913"/>
    <n v="11411"/>
    <n v="47502"/>
  </r>
  <r>
    <x v="16"/>
    <x v="1"/>
    <x v="1"/>
    <n v="97755"/>
    <n v="14606"/>
    <n v="83149"/>
  </r>
  <r>
    <x v="16"/>
    <x v="1"/>
    <x v="2"/>
    <n v="109560"/>
    <n v="19446"/>
    <n v="90114"/>
  </r>
  <r>
    <x v="16"/>
    <x v="1"/>
    <x v="3"/>
    <n v="105656"/>
    <n v="19968"/>
    <n v="85688"/>
  </r>
  <r>
    <x v="16"/>
    <x v="1"/>
    <x v="4"/>
    <n v="89073"/>
    <n v="19645"/>
    <n v="69428"/>
  </r>
  <r>
    <x v="16"/>
    <x v="2"/>
    <x v="0"/>
    <n v="36158"/>
    <n v="10851"/>
    <n v="25307"/>
  </r>
  <r>
    <x v="16"/>
    <x v="2"/>
    <x v="1"/>
    <n v="28275"/>
    <n v="7922"/>
    <n v="20353"/>
  </r>
  <r>
    <x v="16"/>
    <x v="2"/>
    <x v="2"/>
    <n v="39315"/>
    <n v="9867"/>
    <n v="29448"/>
  </r>
  <r>
    <x v="16"/>
    <x v="2"/>
    <x v="3"/>
    <n v="42025"/>
    <n v="9238"/>
    <n v="32787"/>
  </r>
  <r>
    <x v="16"/>
    <x v="2"/>
    <x v="4"/>
    <n v="40413"/>
    <n v="10021"/>
    <n v="30392"/>
  </r>
  <r>
    <x v="16"/>
    <x v="3"/>
    <x v="0"/>
    <n v="39259"/>
    <n v="11185"/>
    <n v="28074"/>
  </r>
  <r>
    <x v="16"/>
    <x v="3"/>
    <x v="1"/>
    <n v="60406"/>
    <n v="12218"/>
    <n v="48188"/>
  </r>
  <r>
    <x v="16"/>
    <x v="3"/>
    <x v="2"/>
    <n v="84931"/>
    <n v="16137"/>
    <n v="68794"/>
  </r>
  <r>
    <x v="16"/>
    <x v="3"/>
    <x v="3"/>
    <n v="95320"/>
    <n v="17321"/>
    <n v="77999"/>
  </r>
  <r>
    <x v="16"/>
    <x v="3"/>
    <x v="4"/>
    <n v="85959"/>
    <n v="16571"/>
    <n v="69388"/>
  </r>
  <r>
    <x v="16"/>
    <x v="4"/>
    <x v="0"/>
    <n v="2955"/>
    <n v="249"/>
    <n v="2706"/>
  </r>
  <r>
    <x v="16"/>
    <x v="4"/>
    <x v="1"/>
    <n v="2596"/>
    <n v="180"/>
    <n v="2416"/>
  </r>
  <r>
    <x v="16"/>
    <x v="4"/>
    <x v="2"/>
    <n v="2503"/>
    <n v="174"/>
    <n v="2329"/>
  </r>
  <r>
    <x v="16"/>
    <x v="4"/>
    <x v="3"/>
    <n v="2337"/>
    <n v="155"/>
    <n v="2182"/>
  </r>
  <r>
    <x v="16"/>
    <x v="4"/>
    <x v="4"/>
    <n v="2305"/>
    <n v="150"/>
    <n v="215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0">
  <r>
    <x v="0"/>
    <x v="0"/>
    <x v="0"/>
    <n v="46849"/>
    <n v="12855"/>
    <n v="33994"/>
  </r>
  <r>
    <x v="0"/>
    <x v="0"/>
    <x v="1"/>
    <n v="53818"/>
    <n v="15884"/>
    <n v="37934"/>
  </r>
  <r>
    <x v="0"/>
    <x v="0"/>
    <x v="2"/>
    <n v="57985"/>
    <n v="18251"/>
    <n v="39734"/>
  </r>
  <r>
    <x v="0"/>
    <x v="0"/>
    <x v="3"/>
    <n v="58264"/>
    <n v="16241"/>
    <n v="42023"/>
  </r>
  <r>
    <x v="0"/>
    <x v="0"/>
    <x v="4"/>
    <n v="54629"/>
    <n v="15911"/>
    <n v="38718"/>
  </r>
  <r>
    <x v="0"/>
    <x v="0"/>
    <x v="5"/>
    <n v="62869"/>
    <n v="18028"/>
    <n v="44841"/>
  </r>
  <r>
    <x v="0"/>
    <x v="0"/>
    <x v="6"/>
    <n v="56630"/>
    <n v="15436"/>
    <n v="41194"/>
  </r>
  <r>
    <x v="0"/>
    <x v="0"/>
    <x v="7"/>
    <n v="57820"/>
    <n v="18659"/>
    <n v="39161"/>
  </r>
  <r>
    <x v="0"/>
    <x v="0"/>
    <x v="8"/>
    <n v="62807"/>
    <n v="15346"/>
    <n v="47461"/>
  </r>
  <r>
    <x v="0"/>
    <x v="0"/>
    <x v="9"/>
    <n v="59171"/>
    <n v="15080"/>
    <n v="44091"/>
  </r>
  <r>
    <x v="0"/>
    <x v="0"/>
    <x v="10"/>
    <n v="56444"/>
    <n v="17656"/>
    <n v="38788"/>
  </r>
  <r>
    <x v="0"/>
    <x v="0"/>
    <x v="11"/>
    <n v="61076"/>
    <n v="27846"/>
    <n v="33230"/>
  </r>
  <r>
    <x v="0"/>
    <x v="1"/>
    <x v="0"/>
    <n v="44250"/>
    <n v="9769"/>
    <n v="34481"/>
  </r>
  <r>
    <x v="0"/>
    <x v="1"/>
    <x v="1"/>
    <n v="58082"/>
    <n v="14930"/>
    <n v="43152"/>
  </r>
  <r>
    <x v="0"/>
    <x v="1"/>
    <x v="2"/>
    <n v="61578"/>
    <n v="19258"/>
    <n v="42320"/>
  </r>
  <r>
    <x v="0"/>
    <x v="1"/>
    <x v="3"/>
    <n v="59285"/>
    <n v="17566"/>
    <n v="41719"/>
  </r>
  <r>
    <x v="0"/>
    <x v="1"/>
    <x v="4"/>
    <n v="55054"/>
    <n v="17396"/>
    <n v="37658"/>
  </r>
  <r>
    <x v="0"/>
    <x v="1"/>
    <x v="5"/>
    <n v="56285"/>
    <n v="16044"/>
    <n v="40241"/>
  </r>
  <r>
    <x v="0"/>
    <x v="1"/>
    <x v="6"/>
    <n v="59981"/>
    <n v="16571"/>
    <n v="43410"/>
  </r>
  <r>
    <x v="0"/>
    <x v="1"/>
    <x v="7"/>
    <n v="69773"/>
    <n v="20891"/>
    <n v="48882"/>
  </r>
  <r>
    <x v="0"/>
    <x v="1"/>
    <x v="8"/>
    <n v="67359"/>
    <n v="14431"/>
    <n v="52928"/>
  </r>
  <r>
    <x v="0"/>
    <x v="1"/>
    <x v="9"/>
    <n v="62718"/>
    <n v="16801"/>
    <n v="45917"/>
  </r>
  <r>
    <x v="0"/>
    <x v="1"/>
    <x v="10"/>
    <n v="61696"/>
    <n v="20395"/>
    <n v="41301"/>
  </r>
  <r>
    <x v="0"/>
    <x v="1"/>
    <x v="11"/>
    <n v="65445"/>
    <n v="35376"/>
    <n v="30069"/>
  </r>
  <r>
    <x v="0"/>
    <x v="2"/>
    <x v="0"/>
    <n v="17734"/>
    <n v="7095"/>
    <n v="10639"/>
  </r>
  <r>
    <x v="0"/>
    <x v="2"/>
    <x v="1"/>
    <n v="17243"/>
    <n v="5973"/>
    <n v="11270"/>
  </r>
  <r>
    <x v="0"/>
    <x v="2"/>
    <x v="2"/>
    <n v="19874"/>
    <n v="6335"/>
    <n v="13539"/>
  </r>
  <r>
    <x v="0"/>
    <x v="2"/>
    <x v="3"/>
    <n v="27929"/>
    <n v="6251"/>
    <n v="21678"/>
  </r>
  <r>
    <x v="0"/>
    <x v="2"/>
    <x v="4"/>
    <n v="24215"/>
    <n v="7631"/>
    <n v="16584"/>
  </r>
  <r>
    <x v="0"/>
    <x v="2"/>
    <x v="5"/>
    <n v="23199"/>
    <n v="6980"/>
    <n v="16219"/>
  </r>
  <r>
    <x v="0"/>
    <x v="2"/>
    <x v="6"/>
    <n v="24971"/>
    <n v="7097"/>
    <n v="17874"/>
  </r>
  <r>
    <x v="0"/>
    <x v="2"/>
    <x v="7"/>
    <n v="24013"/>
    <n v="7972"/>
    <n v="16041"/>
  </r>
  <r>
    <x v="0"/>
    <x v="2"/>
    <x v="8"/>
    <n v="31974"/>
    <n v="6708"/>
    <n v="25266"/>
  </r>
  <r>
    <x v="0"/>
    <x v="2"/>
    <x v="9"/>
    <n v="36204"/>
    <n v="8989"/>
    <n v="27215"/>
  </r>
  <r>
    <x v="0"/>
    <x v="2"/>
    <x v="10"/>
    <n v="35195"/>
    <n v="10509"/>
    <n v="24686"/>
  </r>
  <r>
    <x v="0"/>
    <x v="2"/>
    <x v="11"/>
    <n v="38290"/>
    <n v="19045"/>
    <n v="19245"/>
  </r>
  <r>
    <x v="0"/>
    <x v="3"/>
    <x v="0"/>
    <n v="54045"/>
    <n v="18223"/>
    <n v="35822"/>
  </r>
  <r>
    <x v="0"/>
    <x v="3"/>
    <x v="1"/>
    <n v="70397"/>
    <n v="18606"/>
    <n v="51791"/>
  </r>
  <r>
    <x v="0"/>
    <x v="3"/>
    <x v="2"/>
    <n v="103499"/>
    <n v="25097"/>
    <n v="78402"/>
  </r>
  <r>
    <x v="0"/>
    <x v="3"/>
    <x v="3"/>
    <n v="100986"/>
    <n v="25657"/>
    <n v="75329"/>
  </r>
  <r>
    <x v="0"/>
    <x v="3"/>
    <x v="4"/>
    <n v="91882"/>
    <n v="22523"/>
    <n v="69359"/>
  </r>
  <r>
    <x v="0"/>
    <x v="3"/>
    <x v="5"/>
    <n v="78130"/>
    <n v="18428"/>
    <n v="59702"/>
  </r>
  <r>
    <x v="0"/>
    <x v="3"/>
    <x v="6"/>
    <n v="70982"/>
    <n v="20204"/>
    <n v="50778"/>
  </r>
  <r>
    <x v="0"/>
    <x v="3"/>
    <x v="7"/>
    <n v="68428"/>
    <n v="19898"/>
    <n v="48530"/>
  </r>
  <r>
    <x v="0"/>
    <x v="3"/>
    <x v="8"/>
    <n v="84121"/>
    <n v="24426"/>
    <n v="59695"/>
  </r>
  <r>
    <x v="0"/>
    <x v="3"/>
    <x v="9"/>
    <n v="89186"/>
    <n v="33725"/>
    <n v="55461"/>
  </r>
  <r>
    <x v="0"/>
    <x v="3"/>
    <x v="10"/>
    <n v="77908"/>
    <n v="38385"/>
    <n v="39523"/>
  </r>
  <r>
    <x v="0"/>
    <x v="3"/>
    <x v="11"/>
    <n v="80181"/>
    <n v="65560"/>
    <n v="14621"/>
  </r>
  <r>
    <x v="0"/>
    <x v="4"/>
    <x v="0"/>
    <n v="2056"/>
    <n v="215"/>
    <n v="1841"/>
  </r>
  <r>
    <x v="0"/>
    <x v="4"/>
    <x v="1"/>
    <n v="1739"/>
    <n v="129"/>
    <n v="1610"/>
  </r>
  <r>
    <x v="0"/>
    <x v="4"/>
    <x v="2"/>
    <n v="1617"/>
    <n v="93"/>
    <n v="1524"/>
  </r>
  <r>
    <x v="0"/>
    <x v="4"/>
    <x v="3"/>
    <n v="1549"/>
    <n v="79"/>
    <n v="1470"/>
  </r>
  <r>
    <x v="0"/>
    <x v="4"/>
    <x v="4"/>
    <n v="1184"/>
    <n v="129"/>
    <n v="1055"/>
  </r>
  <r>
    <x v="0"/>
    <x v="4"/>
    <x v="5"/>
    <n v="4867"/>
    <n v="570"/>
    <n v="4297"/>
  </r>
  <r>
    <x v="0"/>
    <x v="4"/>
    <x v="6"/>
    <n v="7359"/>
    <n v="1635"/>
    <n v="5724"/>
  </r>
  <r>
    <x v="0"/>
    <x v="4"/>
    <x v="7"/>
    <n v="6383"/>
    <n v="2663"/>
    <n v="3720"/>
  </r>
  <r>
    <x v="0"/>
    <x v="4"/>
    <x v="8"/>
    <n v="4065"/>
    <n v="236"/>
    <n v="3829"/>
  </r>
  <r>
    <x v="0"/>
    <x v="4"/>
    <x v="9"/>
    <n v="3556"/>
    <n v="430"/>
    <n v="3126"/>
  </r>
  <r>
    <x v="0"/>
    <x v="4"/>
    <x v="10"/>
    <n v="4307"/>
    <n v="1008"/>
    <n v="3299"/>
  </r>
  <r>
    <x v="0"/>
    <x v="4"/>
    <x v="11"/>
    <n v="3329"/>
    <n v="355"/>
    <n v="2974"/>
  </r>
  <r>
    <x v="1"/>
    <x v="0"/>
    <x v="0"/>
    <n v="89546"/>
    <n v="42001"/>
    <n v="47545"/>
  </r>
  <r>
    <x v="1"/>
    <x v="0"/>
    <x v="1"/>
    <n v="119821"/>
    <n v="51017"/>
    <n v="68804"/>
  </r>
  <r>
    <x v="1"/>
    <x v="0"/>
    <x v="2"/>
    <n v="138047"/>
    <n v="58368"/>
    <n v="79679"/>
  </r>
  <r>
    <x v="1"/>
    <x v="0"/>
    <x v="3"/>
    <n v="118615"/>
    <n v="47144"/>
    <n v="71471"/>
  </r>
  <r>
    <x v="1"/>
    <x v="0"/>
    <x v="4"/>
    <n v="112046"/>
    <n v="52163"/>
    <n v="59883"/>
  </r>
  <r>
    <x v="1"/>
    <x v="0"/>
    <x v="5"/>
    <n v="141993"/>
    <n v="58718"/>
    <n v="83275"/>
  </r>
  <r>
    <x v="1"/>
    <x v="0"/>
    <x v="6"/>
    <n v="124936"/>
    <n v="49982"/>
    <n v="74954"/>
  </r>
  <r>
    <x v="1"/>
    <x v="0"/>
    <x v="7"/>
    <n v="137724"/>
    <n v="64927"/>
    <n v="72797"/>
  </r>
  <r>
    <x v="1"/>
    <x v="0"/>
    <x v="8"/>
    <n v="143889"/>
    <n v="51160"/>
    <n v="92729"/>
  </r>
  <r>
    <x v="1"/>
    <x v="0"/>
    <x v="9"/>
    <n v="119604"/>
    <n v="49230"/>
    <n v="70374"/>
  </r>
  <r>
    <x v="1"/>
    <x v="0"/>
    <x v="10"/>
    <n v="106895"/>
    <n v="55456"/>
    <n v="51439"/>
  </r>
  <r>
    <x v="1"/>
    <x v="0"/>
    <x v="11"/>
    <n v="121369"/>
    <n v="83359"/>
    <n v="38010"/>
  </r>
  <r>
    <x v="1"/>
    <x v="1"/>
    <x v="0"/>
    <n v="87968"/>
    <n v="31784"/>
    <n v="56184"/>
  </r>
  <r>
    <x v="1"/>
    <x v="1"/>
    <x v="1"/>
    <n v="114935"/>
    <n v="38724"/>
    <n v="76211"/>
  </r>
  <r>
    <x v="1"/>
    <x v="1"/>
    <x v="2"/>
    <n v="135086"/>
    <n v="54651"/>
    <n v="80435"/>
  </r>
  <r>
    <x v="1"/>
    <x v="1"/>
    <x v="3"/>
    <n v="117091"/>
    <n v="38480"/>
    <n v="78611"/>
  </r>
  <r>
    <x v="1"/>
    <x v="1"/>
    <x v="4"/>
    <n v="110561"/>
    <n v="41920"/>
    <n v="68641"/>
  </r>
  <r>
    <x v="1"/>
    <x v="1"/>
    <x v="5"/>
    <n v="117231"/>
    <n v="40653"/>
    <n v="76578"/>
  </r>
  <r>
    <x v="1"/>
    <x v="1"/>
    <x v="6"/>
    <n v="142332"/>
    <n v="51373"/>
    <n v="90959"/>
  </r>
  <r>
    <x v="1"/>
    <x v="1"/>
    <x v="7"/>
    <n v="168358"/>
    <n v="68107"/>
    <n v="100251"/>
  </r>
  <r>
    <x v="1"/>
    <x v="1"/>
    <x v="8"/>
    <n v="154925"/>
    <n v="39597"/>
    <n v="115328"/>
  </r>
  <r>
    <x v="1"/>
    <x v="1"/>
    <x v="9"/>
    <n v="138662"/>
    <n v="42322"/>
    <n v="96340"/>
  </r>
  <r>
    <x v="1"/>
    <x v="1"/>
    <x v="10"/>
    <n v="129168"/>
    <n v="45852"/>
    <n v="83316"/>
  </r>
  <r>
    <x v="1"/>
    <x v="1"/>
    <x v="11"/>
    <n v="132272"/>
    <n v="80002"/>
    <n v="52270"/>
  </r>
  <r>
    <x v="1"/>
    <x v="2"/>
    <x v="0"/>
    <n v="40507"/>
    <n v="17332"/>
    <n v="23175"/>
  </r>
  <r>
    <x v="1"/>
    <x v="2"/>
    <x v="1"/>
    <n v="38465"/>
    <n v="13496"/>
    <n v="24969"/>
  </r>
  <r>
    <x v="1"/>
    <x v="2"/>
    <x v="2"/>
    <n v="42821"/>
    <n v="15843"/>
    <n v="26978"/>
  </r>
  <r>
    <x v="1"/>
    <x v="2"/>
    <x v="3"/>
    <n v="55211"/>
    <n v="13914"/>
    <n v="41297"/>
  </r>
  <r>
    <x v="1"/>
    <x v="2"/>
    <x v="4"/>
    <n v="47720"/>
    <n v="15115"/>
    <n v="32605"/>
  </r>
  <r>
    <x v="1"/>
    <x v="2"/>
    <x v="5"/>
    <n v="41318"/>
    <n v="16419"/>
    <n v="24899"/>
  </r>
  <r>
    <x v="1"/>
    <x v="2"/>
    <x v="6"/>
    <n v="44280"/>
    <n v="16050"/>
    <n v="28230"/>
  </r>
  <r>
    <x v="1"/>
    <x v="2"/>
    <x v="7"/>
    <n v="41623"/>
    <n v="21757"/>
    <n v="19866"/>
  </r>
  <r>
    <x v="1"/>
    <x v="2"/>
    <x v="8"/>
    <n v="63722"/>
    <n v="16121"/>
    <n v="47601"/>
  </r>
  <r>
    <x v="1"/>
    <x v="2"/>
    <x v="9"/>
    <n v="76633"/>
    <n v="19414"/>
    <n v="57219"/>
  </r>
  <r>
    <x v="1"/>
    <x v="2"/>
    <x v="10"/>
    <n v="74750"/>
    <n v="23397"/>
    <n v="51353"/>
  </r>
  <r>
    <x v="1"/>
    <x v="2"/>
    <x v="11"/>
    <n v="77610"/>
    <n v="41012"/>
    <n v="36598"/>
  </r>
  <r>
    <x v="1"/>
    <x v="3"/>
    <x v="0"/>
    <n v="107709"/>
    <n v="42787"/>
    <n v="64922"/>
  </r>
  <r>
    <x v="1"/>
    <x v="3"/>
    <x v="1"/>
    <n v="132333"/>
    <n v="49512"/>
    <n v="82821"/>
  </r>
  <r>
    <x v="1"/>
    <x v="3"/>
    <x v="2"/>
    <n v="211778"/>
    <n v="72038"/>
    <n v="139740"/>
  </r>
  <r>
    <x v="1"/>
    <x v="3"/>
    <x v="3"/>
    <n v="213457"/>
    <n v="56050"/>
    <n v="157407"/>
  </r>
  <r>
    <x v="1"/>
    <x v="3"/>
    <x v="4"/>
    <n v="195700"/>
    <n v="60083"/>
    <n v="135617"/>
  </r>
  <r>
    <x v="1"/>
    <x v="3"/>
    <x v="5"/>
    <n v="160319"/>
    <n v="55740"/>
    <n v="104579"/>
  </r>
  <r>
    <x v="1"/>
    <x v="3"/>
    <x v="6"/>
    <n v="142305"/>
    <n v="56610"/>
    <n v="85695"/>
  </r>
  <r>
    <x v="1"/>
    <x v="3"/>
    <x v="7"/>
    <n v="141738"/>
    <n v="62247"/>
    <n v="79491"/>
  </r>
  <r>
    <x v="1"/>
    <x v="3"/>
    <x v="8"/>
    <n v="199033"/>
    <n v="66312"/>
    <n v="132721"/>
  </r>
  <r>
    <x v="1"/>
    <x v="3"/>
    <x v="9"/>
    <n v="221393"/>
    <n v="98336"/>
    <n v="123057"/>
  </r>
  <r>
    <x v="1"/>
    <x v="3"/>
    <x v="10"/>
    <n v="243332"/>
    <n v="96860"/>
    <n v="146472"/>
  </r>
  <r>
    <x v="1"/>
    <x v="3"/>
    <x v="11"/>
    <n v="240470"/>
    <n v="164528"/>
    <n v="75942"/>
  </r>
  <r>
    <x v="1"/>
    <x v="4"/>
    <x v="0"/>
    <n v="3127"/>
    <n v="542"/>
    <n v="2585"/>
  </r>
  <r>
    <x v="1"/>
    <x v="4"/>
    <x v="1"/>
    <n v="2437"/>
    <n v="249"/>
    <n v="2188"/>
  </r>
  <r>
    <x v="1"/>
    <x v="4"/>
    <x v="2"/>
    <n v="2199"/>
    <n v="161"/>
    <n v="2038"/>
  </r>
  <r>
    <x v="1"/>
    <x v="4"/>
    <x v="3"/>
    <n v="2103"/>
    <n v="197"/>
    <n v="1906"/>
  </r>
  <r>
    <x v="1"/>
    <x v="4"/>
    <x v="4"/>
    <n v="1512"/>
    <n v="238"/>
    <n v="1274"/>
  </r>
  <r>
    <x v="1"/>
    <x v="4"/>
    <x v="5"/>
    <n v="13489"/>
    <n v="1517"/>
    <n v="11972"/>
  </r>
  <r>
    <x v="1"/>
    <x v="4"/>
    <x v="6"/>
    <n v="23119"/>
    <n v="4587"/>
    <n v="18532"/>
  </r>
  <r>
    <x v="1"/>
    <x v="4"/>
    <x v="7"/>
    <n v="18619"/>
    <n v="9580"/>
    <n v="9039"/>
  </r>
  <r>
    <x v="1"/>
    <x v="4"/>
    <x v="8"/>
    <n v="8965"/>
    <n v="1385"/>
    <n v="7580"/>
  </r>
  <r>
    <x v="1"/>
    <x v="4"/>
    <x v="9"/>
    <n v="6656"/>
    <n v="1802"/>
    <n v="4854"/>
  </r>
  <r>
    <x v="1"/>
    <x v="4"/>
    <x v="10"/>
    <n v="7707"/>
    <n v="2664"/>
    <n v="5043"/>
  </r>
  <r>
    <x v="1"/>
    <x v="4"/>
    <x v="11"/>
    <n v="5225"/>
    <n v="1197"/>
    <n v="4028"/>
  </r>
  <r>
    <x v="2"/>
    <x v="0"/>
    <x v="0"/>
    <n v="73999"/>
    <n v="34860"/>
    <n v="39139"/>
  </r>
  <r>
    <x v="2"/>
    <x v="0"/>
    <x v="1"/>
    <n v="89663"/>
    <n v="40731"/>
    <n v="48932"/>
  </r>
  <r>
    <x v="2"/>
    <x v="0"/>
    <x v="2"/>
    <n v="96805"/>
    <n v="45699"/>
    <n v="51106"/>
  </r>
  <r>
    <x v="2"/>
    <x v="0"/>
    <x v="3"/>
    <n v="90877"/>
    <n v="37750"/>
    <n v="53127"/>
  </r>
  <r>
    <x v="2"/>
    <x v="0"/>
    <x v="4"/>
    <n v="76965"/>
    <n v="40460"/>
    <n v="36505"/>
  </r>
  <r>
    <x v="2"/>
    <x v="0"/>
    <x v="5"/>
    <n v="98125"/>
    <n v="44859"/>
    <n v="53266"/>
  </r>
  <r>
    <x v="2"/>
    <x v="0"/>
    <x v="6"/>
    <n v="86777"/>
    <n v="40045"/>
    <n v="46732"/>
  </r>
  <r>
    <x v="2"/>
    <x v="0"/>
    <x v="7"/>
    <n v="85736"/>
    <n v="51108"/>
    <n v="34628"/>
  </r>
  <r>
    <x v="2"/>
    <x v="0"/>
    <x v="8"/>
    <n v="93540"/>
    <n v="40145"/>
    <n v="53395"/>
  </r>
  <r>
    <x v="2"/>
    <x v="0"/>
    <x v="9"/>
    <n v="80705"/>
    <n v="38577"/>
    <n v="42128"/>
  </r>
  <r>
    <x v="2"/>
    <x v="0"/>
    <x v="10"/>
    <n v="73565"/>
    <n v="42918"/>
    <n v="30647"/>
  </r>
  <r>
    <x v="2"/>
    <x v="0"/>
    <x v="11"/>
    <n v="89877"/>
    <n v="59919"/>
    <n v="29958"/>
  </r>
  <r>
    <x v="2"/>
    <x v="1"/>
    <x v="0"/>
    <n v="51139"/>
    <n v="25993"/>
    <n v="25146"/>
  </r>
  <r>
    <x v="2"/>
    <x v="1"/>
    <x v="1"/>
    <n v="65958"/>
    <n v="31483"/>
    <n v="34475"/>
  </r>
  <r>
    <x v="2"/>
    <x v="1"/>
    <x v="2"/>
    <n v="79463"/>
    <n v="44405"/>
    <n v="35058"/>
  </r>
  <r>
    <x v="2"/>
    <x v="1"/>
    <x v="3"/>
    <n v="75623"/>
    <n v="34782"/>
    <n v="40841"/>
  </r>
  <r>
    <x v="2"/>
    <x v="1"/>
    <x v="4"/>
    <n v="71544"/>
    <n v="36160"/>
    <n v="35384"/>
  </r>
  <r>
    <x v="2"/>
    <x v="1"/>
    <x v="5"/>
    <n v="76461"/>
    <n v="33025"/>
    <n v="43436"/>
  </r>
  <r>
    <x v="2"/>
    <x v="1"/>
    <x v="6"/>
    <n v="81659"/>
    <n v="42076"/>
    <n v="39583"/>
  </r>
  <r>
    <x v="2"/>
    <x v="1"/>
    <x v="7"/>
    <n v="93177"/>
    <n v="51219"/>
    <n v="41958"/>
  </r>
  <r>
    <x v="2"/>
    <x v="1"/>
    <x v="8"/>
    <n v="82553"/>
    <n v="31574"/>
    <n v="50979"/>
  </r>
  <r>
    <x v="2"/>
    <x v="1"/>
    <x v="9"/>
    <n v="68922"/>
    <n v="34134"/>
    <n v="34788"/>
  </r>
  <r>
    <x v="2"/>
    <x v="1"/>
    <x v="10"/>
    <n v="64900"/>
    <n v="36765"/>
    <n v="28135"/>
  </r>
  <r>
    <x v="2"/>
    <x v="1"/>
    <x v="11"/>
    <n v="73116"/>
    <n v="56499"/>
    <n v="16617"/>
  </r>
  <r>
    <x v="2"/>
    <x v="2"/>
    <x v="0"/>
    <n v="23935"/>
    <n v="11326"/>
    <n v="12609"/>
  </r>
  <r>
    <x v="2"/>
    <x v="2"/>
    <x v="1"/>
    <n v="20952"/>
    <n v="9092"/>
    <n v="11860"/>
  </r>
  <r>
    <x v="2"/>
    <x v="2"/>
    <x v="2"/>
    <n v="24430"/>
    <n v="11143"/>
    <n v="13287"/>
  </r>
  <r>
    <x v="2"/>
    <x v="2"/>
    <x v="3"/>
    <n v="32701"/>
    <n v="11901"/>
    <n v="20800"/>
  </r>
  <r>
    <x v="2"/>
    <x v="2"/>
    <x v="4"/>
    <n v="29482"/>
    <n v="12026"/>
    <n v="17456"/>
  </r>
  <r>
    <x v="2"/>
    <x v="2"/>
    <x v="5"/>
    <n v="27483"/>
    <n v="11328"/>
    <n v="16155"/>
  </r>
  <r>
    <x v="2"/>
    <x v="2"/>
    <x v="6"/>
    <n v="29858"/>
    <n v="12300"/>
    <n v="17558"/>
  </r>
  <r>
    <x v="2"/>
    <x v="2"/>
    <x v="7"/>
    <n v="29691"/>
    <n v="16708"/>
    <n v="12983"/>
  </r>
  <r>
    <x v="2"/>
    <x v="2"/>
    <x v="8"/>
    <n v="39694"/>
    <n v="12993"/>
    <n v="26701"/>
  </r>
  <r>
    <x v="2"/>
    <x v="2"/>
    <x v="9"/>
    <n v="44161"/>
    <n v="14718"/>
    <n v="29443"/>
  </r>
  <r>
    <x v="2"/>
    <x v="2"/>
    <x v="10"/>
    <n v="40726"/>
    <n v="17885"/>
    <n v="22841"/>
  </r>
  <r>
    <x v="2"/>
    <x v="2"/>
    <x v="11"/>
    <n v="40645"/>
    <n v="27919"/>
    <n v="12726"/>
  </r>
  <r>
    <x v="2"/>
    <x v="3"/>
    <x v="0"/>
    <n v="57962"/>
    <n v="36819"/>
    <n v="21143"/>
  </r>
  <r>
    <x v="2"/>
    <x v="3"/>
    <x v="1"/>
    <n v="78843"/>
    <n v="45897"/>
    <n v="32946"/>
  </r>
  <r>
    <x v="2"/>
    <x v="3"/>
    <x v="2"/>
    <n v="136091"/>
    <n v="57560"/>
    <n v="78531"/>
  </r>
  <r>
    <x v="2"/>
    <x v="3"/>
    <x v="3"/>
    <n v="130813"/>
    <n v="47633"/>
    <n v="83180"/>
  </r>
  <r>
    <x v="2"/>
    <x v="3"/>
    <x v="4"/>
    <n v="124692"/>
    <n v="46725"/>
    <n v="77967"/>
  </r>
  <r>
    <x v="2"/>
    <x v="3"/>
    <x v="5"/>
    <n v="100479"/>
    <n v="41302"/>
    <n v="59177"/>
  </r>
  <r>
    <x v="2"/>
    <x v="3"/>
    <x v="6"/>
    <n v="95924"/>
    <n v="48669"/>
    <n v="47255"/>
  </r>
  <r>
    <x v="2"/>
    <x v="3"/>
    <x v="7"/>
    <n v="95542"/>
    <n v="55255"/>
    <n v="40287"/>
  </r>
  <r>
    <x v="2"/>
    <x v="3"/>
    <x v="8"/>
    <n v="130783"/>
    <n v="53505"/>
    <n v="77278"/>
  </r>
  <r>
    <x v="2"/>
    <x v="3"/>
    <x v="9"/>
    <n v="127752"/>
    <n v="76277"/>
    <n v="51475"/>
  </r>
  <r>
    <x v="2"/>
    <x v="3"/>
    <x v="10"/>
    <n v="106056"/>
    <n v="65240"/>
    <n v="40816"/>
  </r>
  <r>
    <x v="2"/>
    <x v="3"/>
    <x v="11"/>
    <n v="101794"/>
    <n v="110538"/>
    <n v="-8744"/>
  </r>
  <r>
    <x v="2"/>
    <x v="4"/>
    <x v="0"/>
    <n v="2255"/>
    <n v="328"/>
    <n v="1927"/>
  </r>
  <r>
    <x v="2"/>
    <x v="4"/>
    <x v="1"/>
    <n v="1757"/>
    <n v="192"/>
    <n v="1565"/>
  </r>
  <r>
    <x v="2"/>
    <x v="4"/>
    <x v="2"/>
    <n v="1602"/>
    <n v="169"/>
    <n v="1433"/>
  </r>
  <r>
    <x v="2"/>
    <x v="4"/>
    <x v="3"/>
    <n v="1614"/>
    <n v="167"/>
    <n v="1447"/>
  </r>
  <r>
    <x v="2"/>
    <x v="4"/>
    <x v="4"/>
    <n v="1296"/>
    <n v="242"/>
    <n v="1054"/>
  </r>
  <r>
    <x v="2"/>
    <x v="4"/>
    <x v="5"/>
    <n v="8853"/>
    <n v="1039"/>
    <n v="7814"/>
  </r>
  <r>
    <x v="2"/>
    <x v="4"/>
    <x v="6"/>
    <n v="15711"/>
    <n v="2839"/>
    <n v="12872"/>
  </r>
  <r>
    <x v="2"/>
    <x v="4"/>
    <x v="7"/>
    <n v="13664"/>
    <n v="6144"/>
    <n v="7520"/>
  </r>
  <r>
    <x v="2"/>
    <x v="4"/>
    <x v="8"/>
    <n v="7753"/>
    <n v="960"/>
    <n v="6793"/>
  </r>
  <r>
    <x v="2"/>
    <x v="4"/>
    <x v="9"/>
    <n v="4793"/>
    <n v="924"/>
    <n v="3869"/>
  </r>
  <r>
    <x v="2"/>
    <x v="4"/>
    <x v="10"/>
    <n v="5591"/>
    <n v="1528"/>
    <n v="4063"/>
  </r>
  <r>
    <x v="2"/>
    <x v="4"/>
    <x v="11"/>
    <n v="4131"/>
    <n v="766"/>
    <n v="3365"/>
  </r>
  <r>
    <x v="3"/>
    <x v="0"/>
    <x v="0"/>
    <n v="131636"/>
    <n v="64022"/>
    <n v="67614"/>
  </r>
  <r>
    <x v="3"/>
    <x v="0"/>
    <x v="1"/>
    <n v="171502"/>
    <n v="81963"/>
    <n v="89539"/>
  </r>
  <r>
    <x v="3"/>
    <x v="0"/>
    <x v="2"/>
    <n v="189022"/>
    <n v="91715"/>
    <n v="97307"/>
  </r>
  <r>
    <x v="3"/>
    <x v="0"/>
    <x v="3"/>
    <n v="172153"/>
    <n v="74171"/>
    <n v="97982"/>
  </r>
  <r>
    <x v="3"/>
    <x v="0"/>
    <x v="4"/>
    <n v="168157"/>
    <n v="78872"/>
    <n v="89285"/>
  </r>
  <r>
    <x v="3"/>
    <x v="0"/>
    <x v="5"/>
    <n v="211684"/>
    <n v="90343"/>
    <n v="121341"/>
  </r>
  <r>
    <x v="3"/>
    <x v="0"/>
    <x v="6"/>
    <n v="179000"/>
    <n v="77555"/>
    <n v="101445"/>
  </r>
  <r>
    <x v="3"/>
    <x v="0"/>
    <x v="7"/>
    <n v="199888"/>
    <n v="97844"/>
    <n v="102044"/>
  </r>
  <r>
    <x v="3"/>
    <x v="0"/>
    <x v="8"/>
    <n v="216804"/>
    <n v="80989"/>
    <n v="135815"/>
  </r>
  <r>
    <x v="3"/>
    <x v="0"/>
    <x v="9"/>
    <n v="180705"/>
    <n v="77376"/>
    <n v="103329"/>
  </r>
  <r>
    <x v="3"/>
    <x v="0"/>
    <x v="10"/>
    <n v="158619"/>
    <n v="86235"/>
    <n v="72384"/>
  </r>
  <r>
    <x v="3"/>
    <x v="0"/>
    <x v="11"/>
    <n v="185271"/>
    <n v="119653"/>
    <n v="65618"/>
  </r>
  <r>
    <x v="3"/>
    <x v="1"/>
    <x v="0"/>
    <n v="123950"/>
    <n v="53258"/>
    <n v="70692"/>
  </r>
  <r>
    <x v="3"/>
    <x v="1"/>
    <x v="1"/>
    <n v="170389"/>
    <n v="68408"/>
    <n v="101981"/>
  </r>
  <r>
    <x v="3"/>
    <x v="1"/>
    <x v="2"/>
    <n v="195493"/>
    <n v="94809"/>
    <n v="100684"/>
  </r>
  <r>
    <x v="3"/>
    <x v="1"/>
    <x v="3"/>
    <n v="182383"/>
    <n v="70553"/>
    <n v="111830"/>
  </r>
  <r>
    <x v="3"/>
    <x v="1"/>
    <x v="4"/>
    <n v="181394"/>
    <n v="73978"/>
    <n v="107416"/>
  </r>
  <r>
    <x v="3"/>
    <x v="1"/>
    <x v="5"/>
    <n v="190346"/>
    <n v="68560"/>
    <n v="121786"/>
  </r>
  <r>
    <x v="3"/>
    <x v="1"/>
    <x v="6"/>
    <n v="227065"/>
    <n v="88753"/>
    <n v="138312"/>
  </r>
  <r>
    <x v="3"/>
    <x v="1"/>
    <x v="7"/>
    <n v="271584"/>
    <n v="107519"/>
    <n v="164065"/>
  </r>
  <r>
    <x v="3"/>
    <x v="1"/>
    <x v="8"/>
    <n v="251696"/>
    <n v="68996"/>
    <n v="182700"/>
  </r>
  <r>
    <x v="3"/>
    <x v="1"/>
    <x v="9"/>
    <n v="222818"/>
    <n v="73343"/>
    <n v="149475"/>
  </r>
  <r>
    <x v="3"/>
    <x v="1"/>
    <x v="10"/>
    <n v="198138"/>
    <n v="78828"/>
    <n v="119310"/>
  </r>
  <r>
    <x v="3"/>
    <x v="1"/>
    <x v="11"/>
    <n v="205114"/>
    <n v="122387"/>
    <n v="82727"/>
  </r>
  <r>
    <x v="3"/>
    <x v="2"/>
    <x v="0"/>
    <n v="52113"/>
    <n v="24786"/>
    <n v="27327"/>
  </r>
  <r>
    <x v="3"/>
    <x v="2"/>
    <x v="1"/>
    <n v="46528"/>
    <n v="20148"/>
    <n v="26380"/>
  </r>
  <r>
    <x v="3"/>
    <x v="2"/>
    <x v="2"/>
    <n v="49683"/>
    <n v="22315"/>
    <n v="27368"/>
  </r>
  <r>
    <x v="3"/>
    <x v="2"/>
    <x v="3"/>
    <n v="71207"/>
    <n v="21537"/>
    <n v="49670"/>
  </r>
  <r>
    <x v="3"/>
    <x v="2"/>
    <x v="4"/>
    <n v="66111"/>
    <n v="23938"/>
    <n v="42173"/>
  </r>
  <r>
    <x v="3"/>
    <x v="2"/>
    <x v="5"/>
    <n v="58186"/>
    <n v="23342"/>
    <n v="34844"/>
  </r>
  <r>
    <x v="3"/>
    <x v="2"/>
    <x v="6"/>
    <n v="59429"/>
    <n v="23414"/>
    <n v="36015"/>
  </r>
  <r>
    <x v="3"/>
    <x v="2"/>
    <x v="7"/>
    <n v="56864"/>
    <n v="28912"/>
    <n v="27952"/>
  </r>
  <r>
    <x v="3"/>
    <x v="2"/>
    <x v="8"/>
    <n v="84632"/>
    <n v="24984"/>
    <n v="59648"/>
  </r>
  <r>
    <x v="3"/>
    <x v="2"/>
    <x v="9"/>
    <n v="101020"/>
    <n v="27727"/>
    <n v="73293"/>
  </r>
  <r>
    <x v="3"/>
    <x v="2"/>
    <x v="10"/>
    <n v="96816"/>
    <n v="36668"/>
    <n v="60148"/>
  </r>
  <r>
    <x v="3"/>
    <x v="2"/>
    <x v="11"/>
    <n v="99104"/>
    <n v="55826"/>
    <n v="43278"/>
  </r>
  <r>
    <x v="3"/>
    <x v="3"/>
    <x v="0"/>
    <n v="131030"/>
    <n v="59424"/>
    <n v="71606"/>
  </r>
  <r>
    <x v="3"/>
    <x v="3"/>
    <x v="1"/>
    <n v="155309"/>
    <n v="69826"/>
    <n v="85483"/>
  </r>
  <r>
    <x v="3"/>
    <x v="3"/>
    <x v="2"/>
    <n v="245940"/>
    <n v="92975"/>
    <n v="152965"/>
  </r>
  <r>
    <x v="3"/>
    <x v="3"/>
    <x v="3"/>
    <n v="244264"/>
    <n v="73903"/>
    <n v="170361"/>
  </r>
  <r>
    <x v="3"/>
    <x v="3"/>
    <x v="4"/>
    <n v="232729"/>
    <n v="75893"/>
    <n v="156836"/>
  </r>
  <r>
    <x v="3"/>
    <x v="3"/>
    <x v="5"/>
    <n v="189817"/>
    <n v="67894"/>
    <n v="121923"/>
  </r>
  <r>
    <x v="3"/>
    <x v="3"/>
    <x v="6"/>
    <n v="170196"/>
    <n v="71451"/>
    <n v="98745"/>
  </r>
  <r>
    <x v="3"/>
    <x v="3"/>
    <x v="7"/>
    <n v="175015"/>
    <n v="82779"/>
    <n v="92236"/>
  </r>
  <r>
    <x v="3"/>
    <x v="3"/>
    <x v="8"/>
    <n v="232845"/>
    <n v="91222"/>
    <n v="141623"/>
  </r>
  <r>
    <x v="3"/>
    <x v="3"/>
    <x v="9"/>
    <n v="284108"/>
    <n v="133660"/>
    <n v="150448"/>
  </r>
  <r>
    <x v="3"/>
    <x v="3"/>
    <x v="10"/>
    <n v="296174"/>
    <n v="134630"/>
    <n v="161544"/>
  </r>
  <r>
    <x v="3"/>
    <x v="3"/>
    <x v="11"/>
    <n v="297765"/>
    <n v="222416"/>
    <n v="75349"/>
  </r>
  <r>
    <x v="3"/>
    <x v="4"/>
    <x v="0"/>
    <n v="5370"/>
    <n v="880"/>
    <n v="4490"/>
  </r>
  <r>
    <x v="3"/>
    <x v="4"/>
    <x v="1"/>
    <n v="4143"/>
    <n v="544"/>
    <n v="3599"/>
  </r>
  <r>
    <x v="3"/>
    <x v="4"/>
    <x v="2"/>
    <n v="3778"/>
    <n v="478"/>
    <n v="3300"/>
  </r>
  <r>
    <x v="3"/>
    <x v="4"/>
    <x v="3"/>
    <n v="3516"/>
    <n v="374"/>
    <n v="3142"/>
  </r>
  <r>
    <x v="3"/>
    <x v="4"/>
    <x v="4"/>
    <n v="2943"/>
    <n v="357"/>
    <n v="2586"/>
  </r>
  <r>
    <x v="3"/>
    <x v="4"/>
    <x v="5"/>
    <n v="18363"/>
    <n v="1879"/>
    <n v="16484"/>
  </r>
  <r>
    <x v="3"/>
    <x v="4"/>
    <x v="6"/>
    <n v="29150"/>
    <n v="5752"/>
    <n v="23398"/>
  </r>
  <r>
    <x v="3"/>
    <x v="4"/>
    <x v="7"/>
    <n v="23444"/>
    <n v="12323"/>
    <n v="11121"/>
  </r>
  <r>
    <x v="3"/>
    <x v="4"/>
    <x v="8"/>
    <n v="11194"/>
    <n v="1830"/>
    <n v="9364"/>
  </r>
  <r>
    <x v="3"/>
    <x v="4"/>
    <x v="9"/>
    <n v="8244"/>
    <n v="1930"/>
    <n v="6314"/>
  </r>
  <r>
    <x v="3"/>
    <x v="4"/>
    <x v="10"/>
    <n v="9940"/>
    <n v="3383"/>
    <n v="6557"/>
  </r>
  <r>
    <x v="3"/>
    <x v="4"/>
    <x v="11"/>
    <n v="6738"/>
    <n v="1482"/>
    <n v="5256"/>
  </r>
  <r>
    <x v="4"/>
    <x v="0"/>
    <x v="0"/>
    <n v="103164"/>
    <n v="31189"/>
    <n v="71975"/>
  </r>
  <r>
    <x v="4"/>
    <x v="0"/>
    <x v="1"/>
    <n v="125490"/>
    <n v="41154"/>
    <n v="84336"/>
  </r>
  <r>
    <x v="4"/>
    <x v="0"/>
    <x v="2"/>
    <n v="139798"/>
    <n v="49732"/>
    <n v="90066"/>
  </r>
  <r>
    <x v="4"/>
    <x v="0"/>
    <x v="3"/>
    <n v="127907"/>
    <n v="40476"/>
    <n v="87431"/>
  </r>
  <r>
    <x v="4"/>
    <x v="0"/>
    <x v="4"/>
    <n v="115592"/>
    <n v="42888"/>
    <n v="72704"/>
  </r>
  <r>
    <x v="4"/>
    <x v="0"/>
    <x v="5"/>
    <n v="136343"/>
    <n v="46825"/>
    <n v="89518"/>
  </r>
  <r>
    <x v="4"/>
    <x v="0"/>
    <x v="6"/>
    <n v="117350"/>
    <n v="41507"/>
    <n v="75843"/>
  </r>
  <r>
    <x v="4"/>
    <x v="0"/>
    <x v="7"/>
    <n v="122892"/>
    <n v="51960"/>
    <n v="70932"/>
  </r>
  <r>
    <x v="4"/>
    <x v="0"/>
    <x v="8"/>
    <n v="136992"/>
    <n v="42932"/>
    <n v="94060"/>
  </r>
  <r>
    <x v="4"/>
    <x v="0"/>
    <x v="9"/>
    <n v="118948"/>
    <n v="40558"/>
    <n v="78390"/>
  </r>
  <r>
    <x v="4"/>
    <x v="0"/>
    <x v="10"/>
    <n v="109707"/>
    <n v="53429"/>
    <n v="56278"/>
  </r>
  <r>
    <x v="4"/>
    <x v="0"/>
    <x v="11"/>
    <n v="121936"/>
    <n v="76540"/>
    <n v="45396"/>
  </r>
  <r>
    <x v="4"/>
    <x v="1"/>
    <x v="0"/>
    <n v="94663"/>
    <n v="22959"/>
    <n v="71704"/>
  </r>
  <r>
    <x v="4"/>
    <x v="1"/>
    <x v="1"/>
    <n v="128530"/>
    <n v="33194"/>
    <n v="95336"/>
  </r>
  <r>
    <x v="4"/>
    <x v="1"/>
    <x v="2"/>
    <n v="131830"/>
    <n v="41498"/>
    <n v="90332"/>
  </r>
  <r>
    <x v="4"/>
    <x v="1"/>
    <x v="3"/>
    <n v="124974"/>
    <n v="33720"/>
    <n v="91254"/>
  </r>
  <r>
    <x v="4"/>
    <x v="1"/>
    <x v="4"/>
    <n v="113359"/>
    <n v="34520"/>
    <n v="78839"/>
  </r>
  <r>
    <x v="4"/>
    <x v="1"/>
    <x v="5"/>
    <n v="113666"/>
    <n v="32597"/>
    <n v="81069"/>
  </r>
  <r>
    <x v="4"/>
    <x v="1"/>
    <x v="6"/>
    <n v="136163"/>
    <n v="38551"/>
    <n v="97612"/>
  </r>
  <r>
    <x v="4"/>
    <x v="1"/>
    <x v="7"/>
    <n v="159367"/>
    <n v="49165"/>
    <n v="110202"/>
  </r>
  <r>
    <x v="4"/>
    <x v="1"/>
    <x v="8"/>
    <n v="149131"/>
    <n v="31717"/>
    <n v="117414"/>
  </r>
  <r>
    <x v="4"/>
    <x v="1"/>
    <x v="9"/>
    <n v="138622"/>
    <n v="34421"/>
    <n v="104201"/>
  </r>
  <r>
    <x v="4"/>
    <x v="1"/>
    <x v="10"/>
    <n v="126827"/>
    <n v="44080"/>
    <n v="82747"/>
  </r>
  <r>
    <x v="4"/>
    <x v="1"/>
    <x v="11"/>
    <n v="119910"/>
    <n v="70103"/>
    <n v="49807"/>
  </r>
  <r>
    <x v="4"/>
    <x v="2"/>
    <x v="0"/>
    <n v="34412"/>
    <n v="13584"/>
    <n v="20828"/>
  </r>
  <r>
    <x v="4"/>
    <x v="2"/>
    <x v="1"/>
    <n v="34365"/>
    <n v="12031"/>
    <n v="22334"/>
  </r>
  <r>
    <x v="4"/>
    <x v="2"/>
    <x v="2"/>
    <n v="34686"/>
    <n v="13287"/>
    <n v="21399"/>
  </r>
  <r>
    <x v="4"/>
    <x v="2"/>
    <x v="3"/>
    <n v="49193"/>
    <n v="12867"/>
    <n v="36326"/>
  </r>
  <r>
    <x v="4"/>
    <x v="2"/>
    <x v="4"/>
    <n v="42818"/>
    <n v="13407"/>
    <n v="29411"/>
  </r>
  <r>
    <x v="4"/>
    <x v="2"/>
    <x v="5"/>
    <n v="40795"/>
    <n v="11929"/>
    <n v="28866"/>
  </r>
  <r>
    <x v="4"/>
    <x v="2"/>
    <x v="6"/>
    <n v="42541"/>
    <n v="12287"/>
    <n v="30254"/>
  </r>
  <r>
    <x v="4"/>
    <x v="2"/>
    <x v="7"/>
    <n v="41276"/>
    <n v="16779"/>
    <n v="24497"/>
  </r>
  <r>
    <x v="4"/>
    <x v="2"/>
    <x v="8"/>
    <n v="59897"/>
    <n v="12357"/>
    <n v="47540"/>
  </r>
  <r>
    <x v="4"/>
    <x v="2"/>
    <x v="9"/>
    <n v="69668"/>
    <n v="12997"/>
    <n v="56671"/>
  </r>
  <r>
    <x v="4"/>
    <x v="2"/>
    <x v="10"/>
    <n v="67794"/>
    <n v="18043"/>
    <n v="49751"/>
  </r>
  <r>
    <x v="4"/>
    <x v="2"/>
    <x v="11"/>
    <n v="69257"/>
    <n v="30855"/>
    <n v="38402"/>
  </r>
  <r>
    <x v="4"/>
    <x v="3"/>
    <x v="0"/>
    <n v="107064"/>
    <n v="23285"/>
    <n v="83779"/>
  </r>
  <r>
    <x v="4"/>
    <x v="3"/>
    <x v="1"/>
    <n v="118965"/>
    <n v="28669"/>
    <n v="90296"/>
  </r>
  <r>
    <x v="4"/>
    <x v="3"/>
    <x v="2"/>
    <n v="167468"/>
    <n v="39518"/>
    <n v="127950"/>
  </r>
  <r>
    <x v="4"/>
    <x v="3"/>
    <x v="3"/>
    <n v="180114"/>
    <n v="33344"/>
    <n v="146770"/>
  </r>
  <r>
    <x v="4"/>
    <x v="3"/>
    <x v="4"/>
    <n v="162668"/>
    <n v="32492"/>
    <n v="130176"/>
  </r>
  <r>
    <x v="4"/>
    <x v="3"/>
    <x v="5"/>
    <n v="142859"/>
    <n v="27328"/>
    <n v="115531"/>
  </r>
  <r>
    <x v="4"/>
    <x v="3"/>
    <x v="6"/>
    <n v="131975"/>
    <n v="27587"/>
    <n v="104388"/>
  </r>
  <r>
    <x v="4"/>
    <x v="3"/>
    <x v="7"/>
    <n v="128669"/>
    <n v="28540"/>
    <n v="100129"/>
  </r>
  <r>
    <x v="4"/>
    <x v="3"/>
    <x v="8"/>
    <n v="160363"/>
    <n v="28261"/>
    <n v="132102"/>
  </r>
  <r>
    <x v="4"/>
    <x v="3"/>
    <x v="9"/>
    <n v="174893"/>
    <n v="37798"/>
    <n v="137095"/>
  </r>
  <r>
    <x v="4"/>
    <x v="3"/>
    <x v="10"/>
    <n v="173651"/>
    <n v="50060"/>
    <n v="123591"/>
  </r>
  <r>
    <x v="4"/>
    <x v="3"/>
    <x v="11"/>
    <n v="159512"/>
    <n v="78880"/>
    <n v="80632"/>
  </r>
  <r>
    <x v="4"/>
    <x v="4"/>
    <x v="0"/>
    <n v="4163"/>
    <n v="559"/>
    <n v="3604"/>
  </r>
  <r>
    <x v="4"/>
    <x v="4"/>
    <x v="1"/>
    <n v="3583"/>
    <n v="496"/>
    <n v="3087"/>
  </r>
  <r>
    <x v="4"/>
    <x v="4"/>
    <x v="2"/>
    <n v="3144"/>
    <n v="364"/>
    <n v="2780"/>
  </r>
  <r>
    <x v="4"/>
    <x v="4"/>
    <x v="3"/>
    <n v="2610"/>
    <n v="278"/>
    <n v="2332"/>
  </r>
  <r>
    <x v="4"/>
    <x v="4"/>
    <x v="4"/>
    <n v="2308"/>
    <n v="270"/>
    <n v="2038"/>
  </r>
  <r>
    <x v="4"/>
    <x v="4"/>
    <x v="5"/>
    <n v="13173"/>
    <n v="1377"/>
    <n v="11796"/>
  </r>
  <r>
    <x v="4"/>
    <x v="4"/>
    <x v="6"/>
    <n v="24059"/>
    <n v="5644"/>
    <n v="18415"/>
  </r>
  <r>
    <x v="4"/>
    <x v="4"/>
    <x v="7"/>
    <n v="19324"/>
    <n v="8746"/>
    <n v="10578"/>
  </r>
  <r>
    <x v="4"/>
    <x v="4"/>
    <x v="8"/>
    <n v="10995"/>
    <n v="999"/>
    <n v="9996"/>
  </r>
  <r>
    <x v="4"/>
    <x v="4"/>
    <x v="9"/>
    <n v="8986"/>
    <n v="1749"/>
    <n v="7237"/>
  </r>
  <r>
    <x v="4"/>
    <x v="4"/>
    <x v="10"/>
    <n v="10023"/>
    <n v="3197"/>
    <n v="6826"/>
  </r>
  <r>
    <x v="4"/>
    <x v="4"/>
    <x v="11"/>
    <n v="7329"/>
    <n v="1208"/>
    <n v="6121"/>
  </r>
  <r>
    <x v="5"/>
    <x v="0"/>
    <x v="0"/>
    <n v="83291"/>
    <n v="22716"/>
    <n v="60575"/>
  </r>
  <r>
    <x v="5"/>
    <x v="0"/>
    <x v="1"/>
    <n v="102537"/>
    <n v="30292"/>
    <n v="72245"/>
  </r>
  <r>
    <x v="5"/>
    <x v="0"/>
    <x v="2"/>
    <n v="111565"/>
    <n v="35332"/>
    <n v="76233"/>
  </r>
  <r>
    <x v="5"/>
    <x v="0"/>
    <x v="3"/>
    <n v="101129"/>
    <n v="29570"/>
    <n v="71559"/>
  </r>
  <r>
    <x v="5"/>
    <x v="0"/>
    <x v="4"/>
    <n v="91575"/>
    <n v="31479"/>
    <n v="60096"/>
  </r>
  <r>
    <x v="5"/>
    <x v="0"/>
    <x v="5"/>
    <n v="106812"/>
    <n v="33465"/>
    <n v="73347"/>
  </r>
  <r>
    <x v="5"/>
    <x v="0"/>
    <x v="6"/>
    <n v="93821"/>
    <n v="29429"/>
    <n v="64392"/>
  </r>
  <r>
    <x v="5"/>
    <x v="0"/>
    <x v="7"/>
    <n v="101335"/>
    <n v="36682"/>
    <n v="64653"/>
  </r>
  <r>
    <x v="5"/>
    <x v="0"/>
    <x v="8"/>
    <n v="111316"/>
    <n v="29837"/>
    <n v="81479"/>
  </r>
  <r>
    <x v="5"/>
    <x v="0"/>
    <x v="9"/>
    <n v="99058"/>
    <n v="29825"/>
    <n v="69233"/>
  </r>
  <r>
    <x v="5"/>
    <x v="0"/>
    <x v="10"/>
    <n v="91584"/>
    <n v="37441"/>
    <n v="54143"/>
  </r>
  <r>
    <x v="5"/>
    <x v="0"/>
    <x v="11"/>
    <n v="101270"/>
    <n v="54582"/>
    <n v="46688"/>
  </r>
  <r>
    <x v="5"/>
    <x v="1"/>
    <x v="0"/>
    <n v="69876"/>
    <n v="13888"/>
    <n v="55988"/>
  </r>
  <r>
    <x v="5"/>
    <x v="1"/>
    <x v="1"/>
    <n v="95796"/>
    <n v="20437"/>
    <n v="75359"/>
  </r>
  <r>
    <x v="5"/>
    <x v="1"/>
    <x v="2"/>
    <n v="100713"/>
    <n v="26008"/>
    <n v="74705"/>
  </r>
  <r>
    <x v="5"/>
    <x v="1"/>
    <x v="3"/>
    <n v="94811"/>
    <n v="22204"/>
    <n v="72607"/>
  </r>
  <r>
    <x v="5"/>
    <x v="1"/>
    <x v="4"/>
    <n v="85507"/>
    <n v="22848"/>
    <n v="62659"/>
  </r>
  <r>
    <x v="5"/>
    <x v="1"/>
    <x v="5"/>
    <n v="87250"/>
    <n v="21619"/>
    <n v="65631"/>
  </r>
  <r>
    <x v="5"/>
    <x v="1"/>
    <x v="6"/>
    <n v="92974"/>
    <n v="24214"/>
    <n v="68760"/>
  </r>
  <r>
    <x v="5"/>
    <x v="1"/>
    <x v="7"/>
    <n v="109575"/>
    <n v="32673"/>
    <n v="76902"/>
  </r>
  <r>
    <x v="5"/>
    <x v="1"/>
    <x v="8"/>
    <n v="103504"/>
    <n v="18510"/>
    <n v="84994"/>
  </r>
  <r>
    <x v="5"/>
    <x v="1"/>
    <x v="9"/>
    <n v="97386"/>
    <n v="20853"/>
    <n v="76533"/>
  </r>
  <r>
    <x v="5"/>
    <x v="1"/>
    <x v="10"/>
    <n v="90452"/>
    <n v="27625"/>
    <n v="62827"/>
  </r>
  <r>
    <x v="5"/>
    <x v="1"/>
    <x v="11"/>
    <n v="87153"/>
    <n v="44109"/>
    <n v="43044"/>
  </r>
  <r>
    <x v="5"/>
    <x v="2"/>
    <x v="0"/>
    <n v="28803"/>
    <n v="9859"/>
    <n v="18944"/>
  </r>
  <r>
    <x v="5"/>
    <x v="2"/>
    <x v="1"/>
    <n v="27946"/>
    <n v="9380"/>
    <n v="18566"/>
  </r>
  <r>
    <x v="5"/>
    <x v="2"/>
    <x v="2"/>
    <n v="29094"/>
    <n v="10440"/>
    <n v="18654"/>
  </r>
  <r>
    <x v="5"/>
    <x v="2"/>
    <x v="3"/>
    <n v="39949"/>
    <n v="10177"/>
    <n v="29772"/>
  </r>
  <r>
    <x v="5"/>
    <x v="2"/>
    <x v="4"/>
    <n v="34738"/>
    <n v="10528"/>
    <n v="24210"/>
  </r>
  <r>
    <x v="5"/>
    <x v="2"/>
    <x v="5"/>
    <n v="32640"/>
    <n v="11782"/>
    <n v="20858"/>
  </r>
  <r>
    <x v="5"/>
    <x v="2"/>
    <x v="6"/>
    <n v="31760"/>
    <n v="11950"/>
    <n v="19810"/>
  </r>
  <r>
    <x v="5"/>
    <x v="2"/>
    <x v="7"/>
    <n v="31496"/>
    <n v="13804"/>
    <n v="17692"/>
  </r>
  <r>
    <x v="5"/>
    <x v="2"/>
    <x v="8"/>
    <n v="45429"/>
    <n v="11154"/>
    <n v="34275"/>
  </r>
  <r>
    <x v="5"/>
    <x v="2"/>
    <x v="9"/>
    <n v="54898"/>
    <n v="12376"/>
    <n v="42522"/>
  </r>
  <r>
    <x v="5"/>
    <x v="2"/>
    <x v="10"/>
    <n v="52626"/>
    <n v="17318"/>
    <n v="35308"/>
  </r>
  <r>
    <x v="5"/>
    <x v="2"/>
    <x v="11"/>
    <n v="52087"/>
    <n v="28076"/>
    <n v="24011"/>
  </r>
  <r>
    <x v="5"/>
    <x v="3"/>
    <x v="0"/>
    <n v="66265"/>
    <n v="16132"/>
    <n v="50133"/>
  </r>
  <r>
    <x v="5"/>
    <x v="3"/>
    <x v="1"/>
    <n v="81778"/>
    <n v="20876"/>
    <n v="60902"/>
  </r>
  <r>
    <x v="5"/>
    <x v="3"/>
    <x v="2"/>
    <n v="118763"/>
    <n v="28521"/>
    <n v="90242"/>
  </r>
  <r>
    <x v="5"/>
    <x v="3"/>
    <x v="3"/>
    <n v="118294"/>
    <n v="24509"/>
    <n v="93785"/>
  </r>
  <r>
    <x v="5"/>
    <x v="3"/>
    <x v="4"/>
    <n v="106734"/>
    <n v="26346"/>
    <n v="80388"/>
  </r>
  <r>
    <x v="5"/>
    <x v="3"/>
    <x v="5"/>
    <n v="93040"/>
    <n v="22351"/>
    <n v="70689"/>
  </r>
  <r>
    <x v="5"/>
    <x v="3"/>
    <x v="6"/>
    <n v="82294"/>
    <n v="22260"/>
    <n v="60034"/>
  </r>
  <r>
    <x v="5"/>
    <x v="3"/>
    <x v="7"/>
    <n v="80907"/>
    <n v="23301"/>
    <n v="57606"/>
  </r>
  <r>
    <x v="5"/>
    <x v="3"/>
    <x v="8"/>
    <n v="94148"/>
    <n v="19706"/>
    <n v="74442"/>
  </r>
  <r>
    <x v="5"/>
    <x v="3"/>
    <x v="9"/>
    <n v="104235"/>
    <n v="26888"/>
    <n v="77347"/>
  </r>
  <r>
    <x v="5"/>
    <x v="3"/>
    <x v="10"/>
    <n v="93569"/>
    <n v="34618"/>
    <n v="58951"/>
  </r>
  <r>
    <x v="5"/>
    <x v="3"/>
    <x v="11"/>
    <n v="89444"/>
    <n v="62778"/>
    <n v="26666"/>
  </r>
  <r>
    <x v="5"/>
    <x v="4"/>
    <x v="0"/>
    <n v="3840"/>
    <n v="455"/>
    <n v="3385"/>
  </r>
  <r>
    <x v="5"/>
    <x v="4"/>
    <x v="1"/>
    <n v="3318"/>
    <n v="304"/>
    <n v="3014"/>
  </r>
  <r>
    <x v="5"/>
    <x v="4"/>
    <x v="2"/>
    <n v="3058"/>
    <n v="271"/>
    <n v="2787"/>
  </r>
  <r>
    <x v="5"/>
    <x v="4"/>
    <x v="3"/>
    <n v="2884"/>
    <n v="205"/>
    <n v="2679"/>
  </r>
  <r>
    <x v="5"/>
    <x v="4"/>
    <x v="4"/>
    <n v="2254"/>
    <n v="255"/>
    <n v="1999"/>
  </r>
  <r>
    <x v="5"/>
    <x v="4"/>
    <x v="5"/>
    <n v="10010"/>
    <n v="879"/>
    <n v="9131"/>
  </r>
  <r>
    <x v="5"/>
    <x v="4"/>
    <x v="6"/>
    <n v="17380"/>
    <n v="3815"/>
    <n v="13565"/>
  </r>
  <r>
    <x v="5"/>
    <x v="4"/>
    <x v="7"/>
    <n v="14253"/>
    <n v="5799"/>
    <n v="8454"/>
  </r>
  <r>
    <x v="5"/>
    <x v="4"/>
    <x v="8"/>
    <n v="8559"/>
    <n v="567"/>
    <n v="7992"/>
  </r>
  <r>
    <x v="5"/>
    <x v="4"/>
    <x v="9"/>
    <n v="7051"/>
    <n v="904"/>
    <n v="6147"/>
  </r>
  <r>
    <x v="5"/>
    <x v="4"/>
    <x v="10"/>
    <n v="8168"/>
    <n v="1786"/>
    <n v="6382"/>
  </r>
  <r>
    <x v="5"/>
    <x v="4"/>
    <x v="11"/>
    <n v="6386"/>
    <n v="672"/>
    <n v="5714"/>
  </r>
  <r>
    <x v="6"/>
    <x v="0"/>
    <x v="0"/>
    <n v="80189"/>
    <n v="38844"/>
    <n v="41345"/>
  </r>
  <r>
    <x v="6"/>
    <x v="0"/>
    <x v="1"/>
    <n v="108502"/>
    <n v="47030"/>
    <n v="61472"/>
  </r>
  <r>
    <x v="6"/>
    <x v="0"/>
    <x v="2"/>
    <n v="124418"/>
    <n v="55135"/>
    <n v="69283"/>
  </r>
  <r>
    <x v="6"/>
    <x v="0"/>
    <x v="3"/>
    <n v="109467"/>
    <n v="44650"/>
    <n v="64817"/>
  </r>
  <r>
    <x v="6"/>
    <x v="0"/>
    <x v="4"/>
    <n v="104414"/>
    <n v="47868"/>
    <n v="56546"/>
  </r>
  <r>
    <x v="6"/>
    <x v="0"/>
    <x v="5"/>
    <n v="129997"/>
    <n v="52368"/>
    <n v="77629"/>
  </r>
  <r>
    <x v="6"/>
    <x v="0"/>
    <x v="6"/>
    <n v="113451"/>
    <n v="47224"/>
    <n v="66227"/>
  </r>
  <r>
    <x v="6"/>
    <x v="0"/>
    <x v="7"/>
    <n v="126513"/>
    <n v="58644"/>
    <n v="67869"/>
  </r>
  <r>
    <x v="6"/>
    <x v="0"/>
    <x v="8"/>
    <n v="129642"/>
    <n v="48372"/>
    <n v="81270"/>
  </r>
  <r>
    <x v="6"/>
    <x v="0"/>
    <x v="9"/>
    <n v="108108"/>
    <n v="46153"/>
    <n v="61955"/>
  </r>
  <r>
    <x v="6"/>
    <x v="0"/>
    <x v="10"/>
    <n v="96914"/>
    <n v="54327"/>
    <n v="42587"/>
  </r>
  <r>
    <x v="6"/>
    <x v="0"/>
    <x v="11"/>
    <n v="106126"/>
    <n v="79954"/>
    <n v="26172"/>
  </r>
  <r>
    <x v="6"/>
    <x v="1"/>
    <x v="0"/>
    <n v="78399"/>
    <n v="32493"/>
    <n v="45906"/>
  </r>
  <r>
    <x v="6"/>
    <x v="1"/>
    <x v="1"/>
    <n v="104093"/>
    <n v="38202"/>
    <n v="65891"/>
  </r>
  <r>
    <x v="6"/>
    <x v="1"/>
    <x v="2"/>
    <n v="125384"/>
    <n v="52493"/>
    <n v="72891"/>
  </r>
  <r>
    <x v="6"/>
    <x v="1"/>
    <x v="3"/>
    <n v="110628"/>
    <n v="39938"/>
    <n v="70690"/>
  </r>
  <r>
    <x v="6"/>
    <x v="1"/>
    <x v="4"/>
    <n v="102813"/>
    <n v="41619"/>
    <n v="61194"/>
  </r>
  <r>
    <x v="6"/>
    <x v="1"/>
    <x v="5"/>
    <n v="110025"/>
    <n v="37928"/>
    <n v="72097"/>
  </r>
  <r>
    <x v="6"/>
    <x v="1"/>
    <x v="6"/>
    <n v="135792"/>
    <n v="50088"/>
    <n v="85704"/>
  </r>
  <r>
    <x v="6"/>
    <x v="1"/>
    <x v="7"/>
    <n v="164158"/>
    <n v="62740"/>
    <n v="101418"/>
  </r>
  <r>
    <x v="6"/>
    <x v="1"/>
    <x v="8"/>
    <n v="145416"/>
    <n v="40322"/>
    <n v="105094"/>
  </r>
  <r>
    <x v="6"/>
    <x v="1"/>
    <x v="9"/>
    <n v="129551"/>
    <n v="40149"/>
    <n v="89402"/>
  </r>
  <r>
    <x v="6"/>
    <x v="1"/>
    <x v="10"/>
    <n v="125199"/>
    <n v="44923"/>
    <n v="80276"/>
  </r>
  <r>
    <x v="6"/>
    <x v="1"/>
    <x v="11"/>
    <n v="124401"/>
    <n v="75330"/>
    <n v="49071"/>
  </r>
  <r>
    <x v="6"/>
    <x v="2"/>
    <x v="0"/>
    <n v="36702"/>
    <n v="19156"/>
    <n v="17546"/>
  </r>
  <r>
    <x v="6"/>
    <x v="2"/>
    <x v="1"/>
    <n v="35736"/>
    <n v="15341"/>
    <n v="20395"/>
  </r>
  <r>
    <x v="6"/>
    <x v="2"/>
    <x v="2"/>
    <n v="38143"/>
    <n v="17096"/>
    <n v="21047"/>
  </r>
  <r>
    <x v="6"/>
    <x v="2"/>
    <x v="3"/>
    <n v="51901"/>
    <n v="14761"/>
    <n v="37140"/>
  </r>
  <r>
    <x v="6"/>
    <x v="2"/>
    <x v="4"/>
    <n v="51287"/>
    <n v="17387"/>
    <n v="33900"/>
  </r>
  <r>
    <x v="6"/>
    <x v="2"/>
    <x v="5"/>
    <n v="45371"/>
    <n v="16611"/>
    <n v="28760"/>
  </r>
  <r>
    <x v="6"/>
    <x v="2"/>
    <x v="6"/>
    <n v="48433"/>
    <n v="18006"/>
    <n v="30427"/>
  </r>
  <r>
    <x v="6"/>
    <x v="2"/>
    <x v="7"/>
    <n v="45639"/>
    <n v="20992"/>
    <n v="24647"/>
  </r>
  <r>
    <x v="6"/>
    <x v="2"/>
    <x v="8"/>
    <n v="68866"/>
    <n v="18007"/>
    <n v="50859"/>
  </r>
  <r>
    <x v="6"/>
    <x v="2"/>
    <x v="9"/>
    <n v="76367"/>
    <n v="19537"/>
    <n v="56830"/>
  </r>
  <r>
    <x v="6"/>
    <x v="2"/>
    <x v="10"/>
    <n v="72510"/>
    <n v="24201"/>
    <n v="48309"/>
  </r>
  <r>
    <x v="6"/>
    <x v="2"/>
    <x v="11"/>
    <n v="74939"/>
    <n v="42866"/>
    <n v="32073"/>
  </r>
  <r>
    <x v="6"/>
    <x v="3"/>
    <x v="0"/>
    <n v="78752"/>
    <n v="41993"/>
    <n v="36759"/>
  </r>
  <r>
    <x v="6"/>
    <x v="3"/>
    <x v="1"/>
    <n v="109352"/>
    <n v="51441"/>
    <n v="57911"/>
  </r>
  <r>
    <x v="6"/>
    <x v="3"/>
    <x v="2"/>
    <n v="171363"/>
    <n v="72358"/>
    <n v="99005"/>
  </r>
  <r>
    <x v="6"/>
    <x v="3"/>
    <x v="3"/>
    <n v="178158"/>
    <n v="54882"/>
    <n v="123276"/>
  </r>
  <r>
    <x v="6"/>
    <x v="3"/>
    <x v="4"/>
    <n v="165478"/>
    <n v="56904"/>
    <n v="108574"/>
  </r>
  <r>
    <x v="6"/>
    <x v="3"/>
    <x v="5"/>
    <n v="134907"/>
    <n v="53258"/>
    <n v="81649"/>
  </r>
  <r>
    <x v="6"/>
    <x v="3"/>
    <x v="6"/>
    <n v="124969"/>
    <n v="59236"/>
    <n v="65733"/>
  </r>
  <r>
    <x v="6"/>
    <x v="3"/>
    <x v="7"/>
    <n v="124764"/>
    <n v="62578"/>
    <n v="62186"/>
  </r>
  <r>
    <x v="6"/>
    <x v="3"/>
    <x v="8"/>
    <n v="174282"/>
    <n v="68520"/>
    <n v="105762"/>
  </r>
  <r>
    <x v="6"/>
    <x v="3"/>
    <x v="9"/>
    <n v="192720"/>
    <n v="88976"/>
    <n v="103744"/>
  </r>
  <r>
    <x v="6"/>
    <x v="3"/>
    <x v="10"/>
    <n v="172797"/>
    <n v="88733"/>
    <n v="84064"/>
  </r>
  <r>
    <x v="6"/>
    <x v="3"/>
    <x v="11"/>
    <n v="176981"/>
    <n v="164265"/>
    <n v="12716"/>
  </r>
  <r>
    <x v="6"/>
    <x v="4"/>
    <x v="0"/>
    <n v="1807"/>
    <n v="459"/>
    <n v="1348"/>
  </r>
  <r>
    <x v="6"/>
    <x v="4"/>
    <x v="1"/>
    <n v="1248"/>
    <n v="205"/>
    <n v="1043"/>
  </r>
  <r>
    <x v="6"/>
    <x v="4"/>
    <x v="2"/>
    <n v="1125"/>
    <n v="166"/>
    <n v="959"/>
  </r>
  <r>
    <x v="6"/>
    <x v="4"/>
    <x v="3"/>
    <n v="1054"/>
    <n v="122"/>
    <n v="932"/>
  </r>
  <r>
    <x v="6"/>
    <x v="4"/>
    <x v="4"/>
    <n v="958"/>
    <n v="217"/>
    <n v="741"/>
  </r>
  <r>
    <x v="6"/>
    <x v="4"/>
    <x v="5"/>
    <n v="10536"/>
    <n v="1403"/>
    <n v="9133"/>
  </r>
  <r>
    <x v="6"/>
    <x v="4"/>
    <x v="6"/>
    <n v="18993"/>
    <n v="3833"/>
    <n v="15160"/>
  </r>
  <r>
    <x v="6"/>
    <x v="4"/>
    <x v="7"/>
    <n v="15866"/>
    <n v="7979"/>
    <n v="7887"/>
  </r>
  <r>
    <x v="6"/>
    <x v="4"/>
    <x v="8"/>
    <n v="8045"/>
    <n v="1079"/>
    <n v="6966"/>
  </r>
  <r>
    <x v="6"/>
    <x v="4"/>
    <x v="9"/>
    <n v="5477"/>
    <n v="1191"/>
    <n v="4286"/>
  </r>
  <r>
    <x v="6"/>
    <x v="4"/>
    <x v="10"/>
    <n v="5989"/>
    <n v="1725"/>
    <n v="4264"/>
  </r>
  <r>
    <x v="6"/>
    <x v="4"/>
    <x v="11"/>
    <n v="4552"/>
    <n v="743"/>
    <n v="3809"/>
  </r>
  <r>
    <x v="7"/>
    <x v="0"/>
    <x v="0"/>
    <n v="144344"/>
    <n v="69046"/>
    <n v="75298"/>
  </r>
  <r>
    <x v="7"/>
    <x v="0"/>
    <x v="1"/>
    <n v="181384"/>
    <n v="87445"/>
    <n v="93939"/>
  </r>
  <r>
    <x v="7"/>
    <x v="0"/>
    <x v="2"/>
    <n v="203478"/>
    <n v="97818"/>
    <n v="105660"/>
  </r>
  <r>
    <x v="7"/>
    <x v="0"/>
    <x v="3"/>
    <n v="175409"/>
    <n v="76913"/>
    <n v="98496"/>
  </r>
  <r>
    <x v="7"/>
    <x v="0"/>
    <x v="4"/>
    <n v="170921"/>
    <n v="85220"/>
    <n v="85701"/>
  </r>
  <r>
    <x v="7"/>
    <x v="0"/>
    <x v="5"/>
    <n v="216918"/>
    <n v="97091"/>
    <n v="119827"/>
  </r>
  <r>
    <x v="7"/>
    <x v="0"/>
    <x v="6"/>
    <n v="179328"/>
    <n v="83096"/>
    <n v="96232"/>
  </r>
  <r>
    <x v="7"/>
    <x v="0"/>
    <x v="7"/>
    <n v="199407"/>
    <n v="109689"/>
    <n v="89718"/>
  </r>
  <r>
    <x v="7"/>
    <x v="0"/>
    <x v="8"/>
    <n v="211096"/>
    <n v="86196"/>
    <n v="124900"/>
  </r>
  <r>
    <x v="7"/>
    <x v="0"/>
    <x v="9"/>
    <n v="178267"/>
    <n v="82769"/>
    <n v="95498"/>
  </r>
  <r>
    <x v="7"/>
    <x v="0"/>
    <x v="10"/>
    <n v="165275"/>
    <n v="94619"/>
    <n v="70656"/>
  </r>
  <r>
    <x v="7"/>
    <x v="0"/>
    <x v="11"/>
    <n v="190508"/>
    <n v="134411"/>
    <n v="56097"/>
  </r>
  <r>
    <x v="7"/>
    <x v="1"/>
    <x v="0"/>
    <n v="137468"/>
    <n v="54419"/>
    <n v="83049"/>
  </r>
  <r>
    <x v="7"/>
    <x v="1"/>
    <x v="1"/>
    <n v="187004"/>
    <n v="71016"/>
    <n v="115988"/>
  </r>
  <r>
    <x v="7"/>
    <x v="1"/>
    <x v="2"/>
    <n v="213914"/>
    <n v="97621"/>
    <n v="116293"/>
  </r>
  <r>
    <x v="7"/>
    <x v="1"/>
    <x v="3"/>
    <n v="184730"/>
    <n v="69699"/>
    <n v="115031"/>
  </r>
  <r>
    <x v="7"/>
    <x v="1"/>
    <x v="4"/>
    <n v="179446"/>
    <n v="73067"/>
    <n v="106379"/>
  </r>
  <r>
    <x v="7"/>
    <x v="1"/>
    <x v="5"/>
    <n v="190103"/>
    <n v="70516"/>
    <n v="119587"/>
  </r>
  <r>
    <x v="7"/>
    <x v="1"/>
    <x v="6"/>
    <n v="228789"/>
    <n v="90462"/>
    <n v="138327"/>
  </r>
  <r>
    <x v="7"/>
    <x v="1"/>
    <x v="7"/>
    <n v="275294"/>
    <n v="113112"/>
    <n v="162182"/>
  </r>
  <r>
    <x v="7"/>
    <x v="1"/>
    <x v="8"/>
    <n v="242303"/>
    <n v="71304"/>
    <n v="170999"/>
  </r>
  <r>
    <x v="7"/>
    <x v="1"/>
    <x v="9"/>
    <n v="217123"/>
    <n v="75937"/>
    <n v="141186"/>
  </r>
  <r>
    <x v="7"/>
    <x v="1"/>
    <x v="10"/>
    <n v="203851"/>
    <n v="80740"/>
    <n v="123111"/>
  </r>
  <r>
    <x v="7"/>
    <x v="1"/>
    <x v="11"/>
    <n v="209296"/>
    <n v="128432"/>
    <n v="80864"/>
  </r>
  <r>
    <x v="7"/>
    <x v="2"/>
    <x v="0"/>
    <n v="60349"/>
    <n v="28586"/>
    <n v="31763"/>
  </r>
  <r>
    <x v="7"/>
    <x v="2"/>
    <x v="1"/>
    <n v="55530"/>
    <n v="23685"/>
    <n v="31845"/>
  </r>
  <r>
    <x v="7"/>
    <x v="2"/>
    <x v="2"/>
    <n v="59811"/>
    <n v="28803"/>
    <n v="31008"/>
  </r>
  <r>
    <x v="7"/>
    <x v="2"/>
    <x v="3"/>
    <n v="80945"/>
    <n v="26225"/>
    <n v="54720"/>
  </r>
  <r>
    <x v="7"/>
    <x v="2"/>
    <x v="4"/>
    <n v="75565"/>
    <n v="26548"/>
    <n v="49017"/>
  </r>
  <r>
    <x v="7"/>
    <x v="2"/>
    <x v="5"/>
    <n v="70418"/>
    <n v="25482"/>
    <n v="44936"/>
  </r>
  <r>
    <x v="7"/>
    <x v="2"/>
    <x v="6"/>
    <n v="70933"/>
    <n v="28594"/>
    <n v="42339"/>
  </r>
  <r>
    <x v="7"/>
    <x v="2"/>
    <x v="7"/>
    <n v="67968"/>
    <n v="36358"/>
    <n v="31610"/>
  </r>
  <r>
    <x v="7"/>
    <x v="2"/>
    <x v="8"/>
    <n v="99859"/>
    <n v="28122"/>
    <n v="71737"/>
  </r>
  <r>
    <x v="7"/>
    <x v="2"/>
    <x v="9"/>
    <n v="120983"/>
    <n v="34870"/>
    <n v="86113"/>
  </r>
  <r>
    <x v="7"/>
    <x v="2"/>
    <x v="10"/>
    <n v="115736"/>
    <n v="46483"/>
    <n v="69253"/>
  </r>
  <r>
    <x v="7"/>
    <x v="2"/>
    <x v="11"/>
    <n v="122823"/>
    <n v="71492"/>
    <n v="51331"/>
  </r>
  <r>
    <x v="7"/>
    <x v="3"/>
    <x v="0"/>
    <n v="171477"/>
    <n v="80319"/>
    <n v="91158"/>
  </r>
  <r>
    <x v="7"/>
    <x v="3"/>
    <x v="1"/>
    <n v="199406"/>
    <n v="96033"/>
    <n v="103373"/>
  </r>
  <r>
    <x v="7"/>
    <x v="3"/>
    <x v="2"/>
    <n v="305965"/>
    <n v="126172"/>
    <n v="179793"/>
  </r>
  <r>
    <x v="7"/>
    <x v="3"/>
    <x v="3"/>
    <n v="306869"/>
    <n v="93535"/>
    <n v="213334"/>
  </r>
  <r>
    <x v="7"/>
    <x v="3"/>
    <x v="4"/>
    <n v="292665"/>
    <n v="96097"/>
    <n v="196568"/>
  </r>
  <r>
    <x v="7"/>
    <x v="3"/>
    <x v="5"/>
    <n v="238997"/>
    <n v="87539"/>
    <n v="151458"/>
  </r>
  <r>
    <x v="7"/>
    <x v="3"/>
    <x v="6"/>
    <n v="215582"/>
    <n v="95068"/>
    <n v="120514"/>
  </r>
  <r>
    <x v="7"/>
    <x v="3"/>
    <x v="7"/>
    <n v="220981"/>
    <n v="110864"/>
    <n v="110117"/>
  </r>
  <r>
    <x v="7"/>
    <x v="3"/>
    <x v="8"/>
    <n v="305777"/>
    <n v="119302"/>
    <n v="186475"/>
  </r>
  <r>
    <x v="7"/>
    <x v="3"/>
    <x v="9"/>
    <n v="311084"/>
    <n v="164005"/>
    <n v="147079"/>
  </r>
  <r>
    <x v="7"/>
    <x v="3"/>
    <x v="10"/>
    <n v="286954"/>
    <n v="156644"/>
    <n v="130310"/>
  </r>
  <r>
    <x v="7"/>
    <x v="3"/>
    <x v="11"/>
    <n v="324339"/>
    <n v="262007"/>
    <n v="62332"/>
  </r>
  <r>
    <x v="7"/>
    <x v="4"/>
    <x v="0"/>
    <n v="5131"/>
    <n v="1005"/>
    <n v="4126"/>
  </r>
  <r>
    <x v="7"/>
    <x v="4"/>
    <x v="1"/>
    <n v="3953"/>
    <n v="578"/>
    <n v="3375"/>
  </r>
  <r>
    <x v="7"/>
    <x v="4"/>
    <x v="2"/>
    <n v="3437"/>
    <n v="482"/>
    <n v="2955"/>
  </r>
  <r>
    <x v="7"/>
    <x v="4"/>
    <x v="3"/>
    <n v="3271"/>
    <n v="466"/>
    <n v="2805"/>
  </r>
  <r>
    <x v="7"/>
    <x v="4"/>
    <x v="4"/>
    <n v="2630"/>
    <n v="567"/>
    <n v="2063"/>
  </r>
  <r>
    <x v="7"/>
    <x v="4"/>
    <x v="5"/>
    <n v="21400"/>
    <n v="2342"/>
    <n v="19058"/>
  </r>
  <r>
    <x v="7"/>
    <x v="4"/>
    <x v="6"/>
    <n v="35069"/>
    <n v="6782"/>
    <n v="28287"/>
  </r>
  <r>
    <x v="7"/>
    <x v="4"/>
    <x v="7"/>
    <n v="28819"/>
    <n v="14934"/>
    <n v="13885"/>
  </r>
  <r>
    <x v="7"/>
    <x v="4"/>
    <x v="8"/>
    <n v="13830"/>
    <n v="2633"/>
    <n v="11197"/>
  </r>
  <r>
    <x v="7"/>
    <x v="4"/>
    <x v="9"/>
    <n v="9463"/>
    <n v="2532"/>
    <n v="6931"/>
  </r>
  <r>
    <x v="7"/>
    <x v="4"/>
    <x v="10"/>
    <n v="10884"/>
    <n v="4339"/>
    <n v="6545"/>
  </r>
  <r>
    <x v="7"/>
    <x v="4"/>
    <x v="11"/>
    <n v="6967"/>
    <n v="1228"/>
    <n v="5739"/>
  </r>
  <r>
    <x v="8"/>
    <x v="0"/>
    <x v="0"/>
    <n v="92692"/>
    <n v="27519"/>
    <n v="65173"/>
  </r>
  <r>
    <x v="8"/>
    <x v="0"/>
    <x v="1"/>
    <n v="110210"/>
    <n v="37894"/>
    <n v="72316"/>
  </r>
  <r>
    <x v="8"/>
    <x v="0"/>
    <x v="2"/>
    <n v="123751"/>
    <n v="43987"/>
    <n v="79764"/>
  </r>
  <r>
    <x v="8"/>
    <x v="0"/>
    <x v="3"/>
    <n v="112953"/>
    <n v="35002"/>
    <n v="77951"/>
  </r>
  <r>
    <x v="8"/>
    <x v="0"/>
    <x v="4"/>
    <n v="103287"/>
    <n v="38682"/>
    <n v="64605"/>
  </r>
  <r>
    <x v="8"/>
    <x v="0"/>
    <x v="5"/>
    <n v="125686"/>
    <n v="41113"/>
    <n v="84573"/>
  </r>
  <r>
    <x v="8"/>
    <x v="0"/>
    <x v="6"/>
    <n v="111032"/>
    <n v="33559"/>
    <n v="77473"/>
  </r>
  <r>
    <x v="8"/>
    <x v="0"/>
    <x v="7"/>
    <n v="116132"/>
    <n v="42026"/>
    <n v="74106"/>
  </r>
  <r>
    <x v="8"/>
    <x v="0"/>
    <x v="8"/>
    <n v="129278"/>
    <n v="36825"/>
    <n v="92453"/>
  </r>
  <r>
    <x v="8"/>
    <x v="0"/>
    <x v="9"/>
    <n v="111052"/>
    <n v="34577"/>
    <n v="76475"/>
  </r>
  <r>
    <x v="8"/>
    <x v="0"/>
    <x v="10"/>
    <n v="102531"/>
    <n v="39382"/>
    <n v="63149"/>
  </r>
  <r>
    <x v="8"/>
    <x v="0"/>
    <x v="11"/>
    <n v="115724"/>
    <n v="54879"/>
    <n v="60845"/>
  </r>
  <r>
    <x v="8"/>
    <x v="1"/>
    <x v="0"/>
    <n v="80828"/>
    <n v="20148"/>
    <n v="60680"/>
  </r>
  <r>
    <x v="8"/>
    <x v="1"/>
    <x v="1"/>
    <n v="117392"/>
    <n v="31373"/>
    <n v="86019"/>
  </r>
  <r>
    <x v="8"/>
    <x v="1"/>
    <x v="2"/>
    <n v="128817"/>
    <n v="40511"/>
    <n v="88306"/>
  </r>
  <r>
    <x v="8"/>
    <x v="1"/>
    <x v="3"/>
    <n v="115644"/>
    <n v="31772"/>
    <n v="83872"/>
  </r>
  <r>
    <x v="8"/>
    <x v="1"/>
    <x v="4"/>
    <n v="107304"/>
    <n v="34159"/>
    <n v="73145"/>
  </r>
  <r>
    <x v="8"/>
    <x v="1"/>
    <x v="5"/>
    <n v="111481"/>
    <n v="28972"/>
    <n v="82509"/>
  </r>
  <r>
    <x v="8"/>
    <x v="1"/>
    <x v="6"/>
    <n v="131414"/>
    <n v="36170"/>
    <n v="95244"/>
  </r>
  <r>
    <x v="8"/>
    <x v="1"/>
    <x v="7"/>
    <n v="153135"/>
    <n v="44676"/>
    <n v="108459"/>
  </r>
  <r>
    <x v="8"/>
    <x v="1"/>
    <x v="8"/>
    <n v="144495"/>
    <n v="29857"/>
    <n v="114638"/>
  </r>
  <r>
    <x v="8"/>
    <x v="1"/>
    <x v="9"/>
    <n v="132028"/>
    <n v="34336"/>
    <n v="97692"/>
  </r>
  <r>
    <x v="8"/>
    <x v="1"/>
    <x v="10"/>
    <n v="122478"/>
    <n v="38644"/>
    <n v="83834"/>
  </r>
  <r>
    <x v="8"/>
    <x v="1"/>
    <x v="11"/>
    <n v="121228"/>
    <n v="62616"/>
    <n v="58612"/>
  </r>
  <r>
    <x v="8"/>
    <x v="2"/>
    <x v="0"/>
    <n v="32788"/>
    <n v="14129"/>
    <n v="18659"/>
  </r>
  <r>
    <x v="8"/>
    <x v="2"/>
    <x v="1"/>
    <n v="30616"/>
    <n v="11814"/>
    <n v="18802"/>
  </r>
  <r>
    <x v="8"/>
    <x v="2"/>
    <x v="2"/>
    <n v="33514"/>
    <n v="12487"/>
    <n v="21027"/>
  </r>
  <r>
    <x v="8"/>
    <x v="2"/>
    <x v="3"/>
    <n v="46411"/>
    <n v="13212"/>
    <n v="33199"/>
  </r>
  <r>
    <x v="8"/>
    <x v="2"/>
    <x v="4"/>
    <n v="40465"/>
    <n v="13043"/>
    <n v="27422"/>
  </r>
  <r>
    <x v="8"/>
    <x v="2"/>
    <x v="5"/>
    <n v="37706"/>
    <n v="10994"/>
    <n v="26712"/>
  </r>
  <r>
    <x v="8"/>
    <x v="2"/>
    <x v="6"/>
    <n v="37605"/>
    <n v="11945"/>
    <n v="25660"/>
  </r>
  <r>
    <x v="8"/>
    <x v="2"/>
    <x v="7"/>
    <n v="34482"/>
    <n v="13779"/>
    <n v="20703"/>
  </r>
  <r>
    <x v="8"/>
    <x v="2"/>
    <x v="8"/>
    <n v="46696"/>
    <n v="11767"/>
    <n v="34929"/>
  </r>
  <r>
    <x v="8"/>
    <x v="2"/>
    <x v="9"/>
    <n v="52724"/>
    <n v="12919"/>
    <n v="39805"/>
  </r>
  <r>
    <x v="8"/>
    <x v="2"/>
    <x v="10"/>
    <n v="49277"/>
    <n v="16994"/>
    <n v="32283"/>
  </r>
  <r>
    <x v="8"/>
    <x v="2"/>
    <x v="11"/>
    <n v="51201"/>
    <n v="26935"/>
    <n v="24266"/>
  </r>
  <r>
    <x v="8"/>
    <x v="3"/>
    <x v="0"/>
    <n v="109318"/>
    <n v="30353"/>
    <n v="78965"/>
  </r>
  <r>
    <x v="8"/>
    <x v="3"/>
    <x v="1"/>
    <n v="126017"/>
    <n v="35290"/>
    <n v="90727"/>
  </r>
  <r>
    <x v="8"/>
    <x v="3"/>
    <x v="2"/>
    <n v="186152"/>
    <n v="45798"/>
    <n v="140354"/>
  </r>
  <r>
    <x v="8"/>
    <x v="3"/>
    <x v="3"/>
    <n v="188058"/>
    <n v="35474"/>
    <n v="152584"/>
  </r>
  <r>
    <x v="8"/>
    <x v="3"/>
    <x v="4"/>
    <n v="174041"/>
    <n v="34501"/>
    <n v="139540"/>
  </r>
  <r>
    <x v="8"/>
    <x v="3"/>
    <x v="5"/>
    <n v="152159"/>
    <n v="28211"/>
    <n v="123948"/>
  </r>
  <r>
    <x v="8"/>
    <x v="3"/>
    <x v="6"/>
    <n v="143190"/>
    <n v="30196"/>
    <n v="112994"/>
  </r>
  <r>
    <x v="8"/>
    <x v="3"/>
    <x v="7"/>
    <n v="139719"/>
    <n v="34255"/>
    <n v="105464"/>
  </r>
  <r>
    <x v="8"/>
    <x v="3"/>
    <x v="8"/>
    <n v="172227"/>
    <n v="42271"/>
    <n v="129956"/>
  </r>
  <r>
    <x v="8"/>
    <x v="3"/>
    <x v="9"/>
    <n v="184476"/>
    <n v="64955"/>
    <n v="119521"/>
  </r>
  <r>
    <x v="8"/>
    <x v="3"/>
    <x v="10"/>
    <n v="182738"/>
    <n v="62673"/>
    <n v="120065"/>
  </r>
  <r>
    <x v="8"/>
    <x v="3"/>
    <x v="11"/>
    <n v="178498"/>
    <n v="106996"/>
    <n v="71502"/>
  </r>
  <r>
    <x v="8"/>
    <x v="4"/>
    <x v="0"/>
    <n v="5252"/>
    <n v="563"/>
    <n v="4689"/>
  </r>
  <r>
    <x v="8"/>
    <x v="4"/>
    <x v="1"/>
    <n v="4391"/>
    <n v="317"/>
    <n v="4074"/>
  </r>
  <r>
    <x v="8"/>
    <x v="4"/>
    <x v="2"/>
    <n v="4079"/>
    <n v="320"/>
    <n v="3759"/>
  </r>
  <r>
    <x v="8"/>
    <x v="4"/>
    <x v="3"/>
    <n v="3785"/>
    <n v="267"/>
    <n v="3518"/>
  </r>
  <r>
    <x v="8"/>
    <x v="4"/>
    <x v="4"/>
    <n v="3071"/>
    <n v="328"/>
    <n v="2743"/>
  </r>
  <r>
    <x v="8"/>
    <x v="4"/>
    <x v="5"/>
    <n v="12199"/>
    <n v="1463"/>
    <n v="10736"/>
  </r>
  <r>
    <x v="8"/>
    <x v="4"/>
    <x v="6"/>
    <n v="18626"/>
    <n v="4448"/>
    <n v="14178"/>
  </r>
  <r>
    <x v="8"/>
    <x v="4"/>
    <x v="7"/>
    <n v="15047"/>
    <n v="5743"/>
    <n v="9304"/>
  </r>
  <r>
    <x v="8"/>
    <x v="4"/>
    <x v="8"/>
    <n v="9731"/>
    <n v="550"/>
    <n v="9181"/>
  </r>
  <r>
    <x v="8"/>
    <x v="4"/>
    <x v="9"/>
    <n v="7737"/>
    <n v="1237"/>
    <n v="6500"/>
  </r>
  <r>
    <x v="8"/>
    <x v="4"/>
    <x v="10"/>
    <n v="8662"/>
    <n v="1872"/>
    <n v="6790"/>
  </r>
  <r>
    <x v="8"/>
    <x v="4"/>
    <x v="11"/>
    <n v="7278"/>
    <n v="615"/>
    <n v="6663"/>
  </r>
  <r>
    <x v="9"/>
    <x v="0"/>
    <x v="0"/>
    <n v="66220"/>
    <n v="26274"/>
    <n v="39946"/>
  </r>
  <r>
    <x v="9"/>
    <x v="0"/>
    <x v="1"/>
    <n v="84015"/>
    <n v="31439"/>
    <n v="52576"/>
  </r>
  <r>
    <x v="9"/>
    <x v="0"/>
    <x v="2"/>
    <n v="93662"/>
    <n v="36836"/>
    <n v="56826"/>
  </r>
  <r>
    <x v="9"/>
    <x v="0"/>
    <x v="3"/>
    <n v="83279"/>
    <n v="29458"/>
    <n v="53821"/>
  </r>
  <r>
    <x v="9"/>
    <x v="0"/>
    <x v="4"/>
    <n v="78231"/>
    <n v="32060"/>
    <n v="46171"/>
  </r>
  <r>
    <x v="9"/>
    <x v="0"/>
    <x v="5"/>
    <n v="95997"/>
    <n v="35734"/>
    <n v="60263"/>
  </r>
  <r>
    <x v="9"/>
    <x v="0"/>
    <x v="6"/>
    <n v="84324"/>
    <n v="31341"/>
    <n v="52983"/>
  </r>
  <r>
    <x v="9"/>
    <x v="0"/>
    <x v="7"/>
    <n v="92098"/>
    <n v="38377"/>
    <n v="53721"/>
  </r>
  <r>
    <x v="9"/>
    <x v="0"/>
    <x v="8"/>
    <n v="96296"/>
    <n v="30112"/>
    <n v="66184"/>
  </r>
  <r>
    <x v="9"/>
    <x v="0"/>
    <x v="9"/>
    <n v="85609"/>
    <n v="29601"/>
    <n v="56008"/>
  </r>
  <r>
    <x v="9"/>
    <x v="0"/>
    <x v="10"/>
    <n v="83075"/>
    <n v="35935"/>
    <n v="47140"/>
  </r>
  <r>
    <x v="9"/>
    <x v="0"/>
    <x v="11"/>
    <n v="87171"/>
    <n v="49823"/>
    <n v="37348"/>
  </r>
  <r>
    <x v="9"/>
    <x v="1"/>
    <x v="0"/>
    <n v="73292"/>
    <n v="21911"/>
    <n v="51381"/>
  </r>
  <r>
    <x v="9"/>
    <x v="1"/>
    <x v="1"/>
    <n v="87082"/>
    <n v="24960"/>
    <n v="62122"/>
  </r>
  <r>
    <x v="9"/>
    <x v="1"/>
    <x v="2"/>
    <n v="99902"/>
    <n v="36522"/>
    <n v="63380"/>
  </r>
  <r>
    <x v="9"/>
    <x v="1"/>
    <x v="3"/>
    <n v="88944"/>
    <n v="26632"/>
    <n v="62312"/>
  </r>
  <r>
    <x v="9"/>
    <x v="1"/>
    <x v="4"/>
    <n v="83555"/>
    <n v="29993"/>
    <n v="53562"/>
  </r>
  <r>
    <x v="9"/>
    <x v="1"/>
    <x v="5"/>
    <n v="89593"/>
    <n v="27622"/>
    <n v="61971"/>
  </r>
  <r>
    <x v="9"/>
    <x v="1"/>
    <x v="6"/>
    <n v="107111"/>
    <n v="34229"/>
    <n v="72882"/>
  </r>
  <r>
    <x v="9"/>
    <x v="1"/>
    <x v="7"/>
    <n v="128669"/>
    <n v="43775"/>
    <n v="84894"/>
  </r>
  <r>
    <x v="9"/>
    <x v="1"/>
    <x v="8"/>
    <n v="114464"/>
    <n v="27325"/>
    <n v="87139"/>
  </r>
  <r>
    <x v="9"/>
    <x v="1"/>
    <x v="9"/>
    <n v="103046"/>
    <n v="28360"/>
    <n v="74686"/>
  </r>
  <r>
    <x v="9"/>
    <x v="1"/>
    <x v="10"/>
    <n v="95549"/>
    <n v="30644"/>
    <n v="64905"/>
  </r>
  <r>
    <x v="9"/>
    <x v="1"/>
    <x v="11"/>
    <n v="93415"/>
    <n v="51860"/>
    <n v="41555"/>
  </r>
  <r>
    <x v="9"/>
    <x v="2"/>
    <x v="0"/>
    <n v="31115"/>
    <n v="13295"/>
    <n v="17820"/>
  </r>
  <r>
    <x v="9"/>
    <x v="2"/>
    <x v="1"/>
    <n v="29964"/>
    <n v="10988"/>
    <n v="18976"/>
  </r>
  <r>
    <x v="9"/>
    <x v="2"/>
    <x v="2"/>
    <n v="33700"/>
    <n v="11686"/>
    <n v="22014"/>
  </r>
  <r>
    <x v="9"/>
    <x v="2"/>
    <x v="3"/>
    <n v="47252"/>
    <n v="11067"/>
    <n v="36185"/>
  </r>
  <r>
    <x v="9"/>
    <x v="2"/>
    <x v="4"/>
    <n v="42426"/>
    <n v="11725"/>
    <n v="30701"/>
  </r>
  <r>
    <x v="9"/>
    <x v="2"/>
    <x v="5"/>
    <n v="36618"/>
    <n v="10751"/>
    <n v="25867"/>
  </r>
  <r>
    <x v="9"/>
    <x v="2"/>
    <x v="6"/>
    <n v="38876"/>
    <n v="11693"/>
    <n v="27183"/>
  </r>
  <r>
    <x v="9"/>
    <x v="2"/>
    <x v="7"/>
    <n v="37384"/>
    <n v="15293"/>
    <n v="22091"/>
  </r>
  <r>
    <x v="9"/>
    <x v="2"/>
    <x v="8"/>
    <n v="49260"/>
    <n v="12306"/>
    <n v="36954"/>
  </r>
  <r>
    <x v="9"/>
    <x v="2"/>
    <x v="9"/>
    <n v="57434"/>
    <n v="13932"/>
    <n v="43502"/>
  </r>
  <r>
    <x v="9"/>
    <x v="2"/>
    <x v="10"/>
    <n v="54339"/>
    <n v="15869"/>
    <n v="38470"/>
  </r>
  <r>
    <x v="9"/>
    <x v="2"/>
    <x v="11"/>
    <n v="55877"/>
    <n v="27125"/>
    <n v="28752"/>
  </r>
  <r>
    <x v="9"/>
    <x v="3"/>
    <x v="0"/>
    <n v="76715"/>
    <n v="30747"/>
    <n v="45968"/>
  </r>
  <r>
    <x v="9"/>
    <x v="3"/>
    <x v="1"/>
    <n v="96648"/>
    <n v="36882"/>
    <n v="59766"/>
  </r>
  <r>
    <x v="9"/>
    <x v="3"/>
    <x v="2"/>
    <n v="148047"/>
    <n v="50827"/>
    <n v="97220"/>
  </r>
  <r>
    <x v="9"/>
    <x v="3"/>
    <x v="3"/>
    <n v="151229"/>
    <n v="39461"/>
    <n v="111768"/>
  </r>
  <r>
    <x v="9"/>
    <x v="3"/>
    <x v="4"/>
    <n v="141182"/>
    <n v="43625"/>
    <n v="97557"/>
  </r>
  <r>
    <x v="9"/>
    <x v="3"/>
    <x v="5"/>
    <n v="116399"/>
    <n v="38804"/>
    <n v="77595"/>
  </r>
  <r>
    <x v="9"/>
    <x v="3"/>
    <x v="6"/>
    <n v="105357"/>
    <n v="41781"/>
    <n v="63576"/>
  </r>
  <r>
    <x v="9"/>
    <x v="3"/>
    <x v="7"/>
    <n v="105776"/>
    <n v="45389"/>
    <n v="60387"/>
  </r>
  <r>
    <x v="9"/>
    <x v="3"/>
    <x v="8"/>
    <n v="133287"/>
    <n v="45779"/>
    <n v="87508"/>
  </r>
  <r>
    <x v="9"/>
    <x v="3"/>
    <x v="9"/>
    <n v="145889"/>
    <n v="63053"/>
    <n v="82836"/>
  </r>
  <r>
    <x v="9"/>
    <x v="3"/>
    <x v="10"/>
    <n v="157733"/>
    <n v="61400"/>
    <n v="96333"/>
  </r>
  <r>
    <x v="9"/>
    <x v="3"/>
    <x v="11"/>
    <n v="155231"/>
    <n v="111320"/>
    <n v="43911"/>
  </r>
  <r>
    <x v="9"/>
    <x v="4"/>
    <x v="0"/>
    <n v="1946"/>
    <n v="344"/>
    <n v="1602"/>
  </r>
  <r>
    <x v="9"/>
    <x v="4"/>
    <x v="1"/>
    <n v="1465"/>
    <n v="202"/>
    <n v="1263"/>
  </r>
  <r>
    <x v="9"/>
    <x v="4"/>
    <x v="2"/>
    <n v="1224"/>
    <n v="132"/>
    <n v="1092"/>
  </r>
  <r>
    <x v="9"/>
    <x v="4"/>
    <x v="3"/>
    <n v="1163"/>
    <n v="145"/>
    <n v="1018"/>
  </r>
  <r>
    <x v="9"/>
    <x v="4"/>
    <x v="4"/>
    <n v="1009"/>
    <n v="177"/>
    <n v="832"/>
  </r>
  <r>
    <x v="9"/>
    <x v="4"/>
    <x v="5"/>
    <n v="7775"/>
    <n v="933"/>
    <n v="6842"/>
  </r>
  <r>
    <x v="9"/>
    <x v="4"/>
    <x v="6"/>
    <n v="15697"/>
    <n v="2738"/>
    <n v="12959"/>
  </r>
  <r>
    <x v="9"/>
    <x v="4"/>
    <x v="7"/>
    <n v="13507"/>
    <n v="7246"/>
    <n v="6261"/>
  </r>
  <r>
    <x v="9"/>
    <x v="4"/>
    <x v="8"/>
    <n v="6254"/>
    <n v="1128"/>
    <n v="5126"/>
  </r>
  <r>
    <x v="9"/>
    <x v="4"/>
    <x v="9"/>
    <n v="3912"/>
    <n v="800"/>
    <n v="3112"/>
  </r>
  <r>
    <x v="9"/>
    <x v="4"/>
    <x v="10"/>
    <n v="4721"/>
    <n v="1422"/>
    <n v="3299"/>
  </r>
  <r>
    <x v="9"/>
    <x v="4"/>
    <x v="11"/>
    <n v="3382"/>
    <n v="809"/>
    <n v="2573"/>
  </r>
  <r>
    <x v="10"/>
    <x v="0"/>
    <x v="0"/>
    <n v="57979"/>
    <n v="18869"/>
    <n v="39110"/>
  </r>
  <r>
    <x v="10"/>
    <x v="0"/>
    <x v="1"/>
    <n v="64531"/>
    <n v="22217"/>
    <n v="42314"/>
  </r>
  <r>
    <x v="10"/>
    <x v="0"/>
    <x v="2"/>
    <n v="75227"/>
    <n v="25616"/>
    <n v="49611"/>
  </r>
  <r>
    <x v="10"/>
    <x v="0"/>
    <x v="3"/>
    <n v="70366"/>
    <n v="21139"/>
    <n v="49227"/>
  </r>
  <r>
    <x v="10"/>
    <x v="0"/>
    <x v="4"/>
    <n v="64532"/>
    <n v="22631"/>
    <n v="41901"/>
  </r>
  <r>
    <x v="10"/>
    <x v="0"/>
    <x v="5"/>
    <n v="75404"/>
    <n v="26169"/>
    <n v="49235"/>
  </r>
  <r>
    <x v="10"/>
    <x v="0"/>
    <x v="6"/>
    <n v="69150"/>
    <n v="22833"/>
    <n v="46317"/>
  </r>
  <r>
    <x v="10"/>
    <x v="0"/>
    <x v="7"/>
    <n v="73580"/>
    <n v="30008"/>
    <n v="43572"/>
  </r>
  <r>
    <x v="10"/>
    <x v="0"/>
    <x v="8"/>
    <n v="75154"/>
    <n v="22211"/>
    <n v="52943"/>
  </r>
  <r>
    <x v="10"/>
    <x v="0"/>
    <x v="9"/>
    <n v="68318"/>
    <n v="21130"/>
    <n v="47188"/>
  </r>
  <r>
    <x v="10"/>
    <x v="0"/>
    <x v="10"/>
    <n v="62350"/>
    <n v="24839"/>
    <n v="37511"/>
  </r>
  <r>
    <x v="10"/>
    <x v="0"/>
    <x v="11"/>
    <n v="64140"/>
    <n v="36583"/>
    <n v="27557"/>
  </r>
  <r>
    <x v="10"/>
    <x v="1"/>
    <x v="0"/>
    <n v="59014"/>
    <n v="14330"/>
    <n v="44684"/>
  </r>
  <r>
    <x v="10"/>
    <x v="1"/>
    <x v="1"/>
    <n v="66858"/>
    <n v="17345"/>
    <n v="49513"/>
  </r>
  <r>
    <x v="10"/>
    <x v="1"/>
    <x v="2"/>
    <n v="77356"/>
    <n v="25001"/>
    <n v="52355"/>
  </r>
  <r>
    <x v="10"/>
    <x v="1"/>
    <x v="3"/>
    <n v="70946"/>
    <n v="19094"/>
    <n v="51852"/>
  </r>
  <r>
    <x v="10"/>
    <x v="1"/>
    <x v="4"/>
    <n v="66065"/>
    <n v="20982"/>
    <n v="45083"/>
  </r>
  <r>
    <x v="10"/>
    <x v="1"/>
    <x v="5"/>
    <n v="63642"/>
    <n v="19837"/>
    <n v="43805"/>
  </r>
  <r>
    <x v="10"/>
    <x v="1"/>
    <x v="6"/>
    <n v="75406"/>
    <n v="23618"/>
    <n v="51788"/>
  </r>
  <r>
    <x v="10"/>
    <x v="1"/>
    <x v="7"/>
    <n v="92752"/>
    <n v="30729"/>
    <n v="62023"/>
  </r>
  <r>
    <x v="10"/>
    <x v="1"/>
    <x v="8"/>
    <n v="85959"/>
    <n v="18455"/>
    <n v="67504"/>
  </r>
  <r>
    <x v="10"/>
    <x v="1"/>
    <x v="9"/>
    <n v="79241"/>
    <n v="20313"/>
    <n v="58928"/>
  </r>
  <r>
    <x v="10"/>
    <x v="1"/>
    <x v="10"/>
    <n v="71137"/>
    <n v="22136"/>
    <n v="49001"/>
  </r>
  <r>
    <x v="10"/>
    <x v="1"/>
    <x v="11"/>
    <n v="66974"/>
    <n v="37066"/>
    <n v="29908"/>
  </r>
  <r>
    <x v="10"/>
    <x v="2"/>
    <x v="0"/>
    <n v="23658"/>
    <n v="11747"/>
    <n v="11911"/>
  </r>
  <r>
    <x v="10"/>
    <x v="2"/>
    <x v="1"/>
    <n v="21857"/>
    <n v="9112"/>
    <n v="12745"/>
  </r>
  <r>
    <x v="10"/>
    <x v="2"/>
    <x v="2"/>
    <n v="24664"/>
    <n v="10266"/>
    <n v="14398"/>
  </r>
  <r>
    <x v="10"/>
    <x v="2"/>
    <x v="3"/>
    <n v="34908"/>
    <n v="10438"/>
    <n v="24470"/>
  </r>
  <r>
    <x v="10"/>
    <x v="2"/>
    <x v="4"/>
    <n v="31834"/>
    <n v="12151"/>
    <n v="19683"/>
  </r>
  <r>
    <x v="10"/>
    <x v="2"/>
    <x v="5"/>
    <n v="27663"/>
    <n v="12788"/>
    <n v="14875"/>
  </r>
  <r>
    <x v="10"/>
    <x v="2"/>
    <x v="6"/>
    <n v="29335"/>
    <n v="12907"/>
    <n v="16428"/>
  </r>
  <r>
    <x v="10"/>
    <x v="2"/>
    <x v="7"/>
    <n v="30638"/>
    <n v="15320"/>
    <n v="15318"/>
  </r>
  <r>
    <x v="10"/>
    <x v="2"/>
    <x v="8"/>
    <n v="40560"/>
    <n v="13229"/>
    <n v="27331"/>
  </r>
  <r>
    <x v="10"/>
    <x v="2"/>
    <x v="9"/>
    <n v="54656"/>
    <n v="14938"/>
    <n v="39718"/>
  </r>
  <r>
    <x v="10"/>
    <x v="2"/>
    <x v="10"/>
    <n v="50222"/>
    <n v="17644"/>
    <n v="32578"/>
  </r>
  <r>
    <x v="10"/>
    <x v="2"/>
    <x v="11"/>
    <n v="51309"/>
    <n v="28273"/>
    <n v="23036"/>
  </r>
  <r>
    <x v="10"/>
    <x v="3"/>
    <x v="0"/>
    <n v="72663"/>
    <n v="30647"/>
    <n v="42016"/>
  </r>
  <r>
    <x v="10"/>
    <x v="3"/>
    <x v="1"/>
    <n v="93872"/>
    <n v="37866"/>
    <n v="56006"/>
  </r>
  <r>
    <x v="10"/>
    <x v="3"/>
    <x v="2"/>
    <n v="138689"/>
    <n v="51376"/>
    <n v="87313"/>
  </r>
  <r>
    <x v="10"/>
    <x v="3"/>
    <x v="3"/>
    <n v="135611"/>
    <n v="37992"/>
    <n v="97619"/>
  </r>
  <r>
    <x v="10"/>
    <x v="3"/>
    <x v="4"/>
    <n v="128230"/>
    <n v="43164"/>
    <n v="85066"/>
  </r>
  <r>
    <x v="10"/>
    <x v="3"/>
    <x v="5"/>
    <n v="102387"/>
    <n v="38193"/>
    <n v="64194"/>
  </r>
  <r>
    <x v="10"/>
    <x v="3"/>
    <x v="6"/>
    <n v="89297"/>
    <n v="39882"/>
    <n v="49415"/>
  </r>
  <r>
    <x v="10"/>
    <x v="3"/>
    <x v="7"/>
    <n v="93647"/>
    <n v="45881"/>
    <n v="47766"/>
  </r>
  <r>
    <x v="10"/>
    <x v="3"/>
    <x v="8"/>
    <n v="113700"/>
    <n v="46302"/>
    <n v="67398"/>
  </r>
  <r>
    <x v="10"/>
    <x v="3"/>
    <x v="9"/>
    <n v="135401"/>
    <n v="64401"/>
    <n v="71000"/>
  </r>
  <r>
    <x v="10"/>
    <x v="3"/>
    <x v="10"/>
    <n v="147850"/>
    <n v="66021"/>
    <n v="81829"/>
  </r>
  <r>
    <x v="10"/>
    <x v="3"/>
    <x v="11"/>
    <n v="139333"/>
    <n v="127316"/>
    <n v="12017"/>
  </r>
  <r>
    <x v="10"/>
    <x v="4"/>
    <x v="0"/>
    <n v="1391"/>
    <n v="330"/>
    <n v="1061"/>
  </r>
  <r>
    <x v="10"/>
    <x v="4"/>
    <x v="1"/>
    <n v="968"/>
    <n v="171"/>
    <n v="797"/>
  </r>
  <r>
    <x v="10"/>
    <x v="4"/>
    <x v="2"/>
    <n v="828"/>
    <n v="123"/>
    <n v="705"/>
  </r>
  <r>
    <x v="10"/>
    <x v="4"/>
    <x v="3"/>
    <n v="764"/>
    <n v="82"/>
    <n v="682"/>
  </r>
  <r>
    <x v="10"/>
    <x v="4"/>
    <x v="4"/>
    <n v="643"/>
    <n v="144"/>
    <n v="499"/>
  </r>
  <r>
    <x v="10"/>
    <x v="4"/>
    <x v="5"/>
    <n v="5723"/>
    <n v="826"/>
    <n v="4897"/>
  </r>
  <r>
    <x v="10"/>
    <x v="4"/>
    <x v="6"/>
    <n v="10869"/>
    <n v="2008"/>
    <n v="8861"/>
  </r>
  <r>
    <x v="10"/>
    <x v="4"/>
    <x v="7"/>
    <n v="9355"/>
    <n v="5133"/>
    <n v="4222"/>
  </r>
  <r>
    <x v="10"/>
    <x v="4"/>
    <x v="8"/>
    <n v="4497"/>
    <n v="493"/>
    <n v="4004"/>
  </r>
  <r>
    <x v="10"/>
    <x v="4"/>
    <x v="9"/>
    <n v="3290"/>
    <n v="671"/>
    <n v="2619"/>
  </r>
  <r>
    <x v="10"/>
    <x v="4"/>
    <x v="10"/>
    <n v="3954"/>
    <n v="1279"/>
    <n v="2675"/>
  </r>
  <r>
    <x v="10"/>
    <x v="4"/>
    <x v="11"/>
    <n v="2733"/>
    <n v="746"/>
    <n v="1987"/>
  </r>
  <r>
    <x v="11"/>
    <x v="0"/>
    <x v="0"/>
    <n v="141716"/>
    <n v="81106"/>
    <n v="60610"/>
  </r>
  <r>
    <x v="11"/>
    <x v="0"/>
    <x v="1"/>
    <n v="179023"/>
    <n v="99226"/>
    <n v="79797"/>
  </r>
  <r>
    <x v="11"/>
    <x v="0"/>
    <x v="2"/>
    <n v="207976"/>
    <n v="109244"/>
    <n v="98732"/>
  </r>
  <r>
    <x v="11"/>
    <x v="0"/>
    <x v="3"/>
    <n v="185211"/>
    <n v="88405"/>
    <n v="96806"/>
  </r>
  <r>
    <x v="11"/>
    <x v="0"/>
    <x v="4"/>
    <n v="173786"/>
    <n v="97304"/>
    <n v="76482"/>
  </r>
  <r>
    <x v="11"/>
    <x v="0"/>
    <x v="5"/>
    <n v="212862"/>
    <n v="110483"/>
    <n v="102379"/>
  </r>
  <r>
    <x v="11"/>
    <x v="0"/>
    <x v="6"/>
    <n v="181523"/>
    <n v="95265"/>
    <n v="86258"/>
  </r>
  <r>
    <x v="11"/>
    <x v="0"/>
    <x v="7"/>
    <n v="202703"/>
    <n v="121213"/>
    <n v="81490"/>
  </r>
  <r>
    <x v="11"/>
    <x v="0"/>
    <x v="8"/>
    <n v="211881"/>
    <n v="96251"/>
    <n v="115630"/>
  </r>
  <r>
    <x v="11"/>
    <x v="0"/>
    <x v="9"/>
    <n v="181832"/>
    <n v="93063"/>
    <n v="88769"/>
  </r>
  <r>
    <x v="11"/>
    <x v="0"/>
    <x v="10"/>
    <n v="167670"/>
    <n v="103261"/>
    <n v="64409"/>
  </r>
  <r>
    <x v="11"/>
    <x v="0"/>
    <x v="11"/>
    <n v="185661"/>
    <n v="137449"/>
    <n v="48212"/>
  </r>
  <r>
    <x v="11"/>
    <x v="1"/>
    <x v="0"/>
    <n v="116123"/>
    <n v="66198"/>
    <n v="49925"/>
  </r>
  <r>
    <x v="11"/>
    <x v="1"/>
    <x v="1"/>
    <n v="156281"/>
    <n v="76993"/>
    <n v="79288"/>
  </r>
  <r>
    <x v="11"/>
    <x v="1"/>
    <x v="2"/>
    <n v="198621"/>
    <n v="98488"/>
    <n v="100133"/>
  </r>
  <r>
    <x v="11"/>
    <x v="1"/>
    <x v="3"/>
    <n v="179969"/>
    <n v="77588"/>
    <n v="102381"/>
  </r>
  <r>
    <x v="11"/>
    <x v="1"/>
    <x v="4"/>
    <n v="176606"/>
    <n v="87623"/>
    <n v="88983"/>
  </r>
  <r>
    <x v="11"/>
    <x v="1"/>
    <x v="5"/>
    <n v="185770"/>
    <n v="84631"/>
    <n v="101139"/>
  </r>
  <r>
    <x v="11"/>
    <x v="1"/>
    <x v="6"/>
    <n v="199027"/>
    <n v="103175"/>
    <n v="95852"/>
  </r>
  <r>
    <x v="11"/>
    <x v="1"/>
    <x v="7"/>
    <n v="251944"/>
    <n v="115494"/>
    <n v="136450"/>
  </r>
  <r>
    <x v="11"/>
    <x v="1"/>
    <x v="8"/>
    <n v="231779"/>
    <n v="75550"/>
    <n v="156229"/>
  </r>
  <r>
    <x v="11"/>
    <x v="1"/>
    <x v="9"/>
    <n v="194817"/>
    <n v="82614"/>
    <n v="112203"/>
  </r>
  <r>
    <x v="11"/>
    <x v="1"/>
    <x v="10"/>
    <n v="184716"/>
    <n v="87374"/>
    <n v="97342"/>
  </r>
  <r>
    <x v="11"/>
    <x v="1"/>
    <x v="11"/>
    <n v="189319"/>
    <n v="139851"/>
    <n v="49468"/>
  </r>
  <r>
    <x v="11"/>
    <x v="2"/>
    <x v="0"/>
    <n v="55174"/>
    <n v="28406"/>
    <n v="26768"/>
  </r>
  <r>
    <x v="11"/>
    <x v="2"/>
    <x v="1"/>
    <n v="46527"/>
    <n v="20430"/>
    <n v="26097"/>
  </r>
  <r>
    <x v="11"/>
    <x v="2"/>
    <x v="2"/>
    <n v="54460"/>
    <n v="21733"/>
    <n v="32727"/>
  </r>
  <r>
    <x v="11"/>
    <x v="2"/>
    <x v="3"/>
    <n v="79114"/>
    <n v="21309"/>
    <n v="57805"/>
  </r>
  <r>
    <x v="11"/>
    <x v="2"/>
    <x v="4"/>
    <n v="73317"/>
    <n v="23089"/>
    <n v="50228"/>
  </r>
  <r>
    <x v="11"/>
    <x v="2"/>
    <x v="5"/>
    <n v="63064"/>
    <n v="23379"/>
    <n v="39685"/>
  </r>
  <r>
    <x v="11"/>
    <x v="2"/>
    <x v="6"/>
    <n v="63740"/>
    <n v="23830"/>
    <n v="39910"/>
  </r>
  <r>
    <x v="11"/>
    <x v="2"/>
    <x v="7"/>
    <n v="62970"/>
    <n v="28016"/>
    <n v="34954"/>
  </r>
  <r>
    <x v="11"/>
    <x v="2"/>
    <x v="8"/>
    <n v="92220"/>
    <n v="21846"/>
    <n v="70374"/>
  </r>
  <r>
    <x v="11"/>
    <x v="2"/>
    <x v="9"/>
    <n v="108694"/>
    <n v="25703"/>
    <n v="82991"/>
  </r>
  <r>
    <x v="11"/>
    <x v="2"/>
    <x v="10"/>
    <n v="106285"/>
    <n v="32854"/>
    <n v="73431"/>
  </r>
  <r>
    <x v="11"/>
    <x v="2"/>
    <x v="11"/>
    <n v="121992"/>
    <n v="50988"/>
    <n v="71004"/>
  </r>
  <r>
    <x v="11"/>
    <x v="3"/>
    <x v="0"/>
    <n v="164948"/>
    <n v="78073"/>
    <n v="86875"/>
  </r>
  <r>
    <x v="11"/>
    <x v="3"/>
    <x v="1"/>
    <n v="187608"/>
    <n v="96355"/>
    <n v="91253"/>
  </r>
  <r>
    <x v="11"/>
    <x v="3"/>
    <x v="2"/>
    <n v="290161"/>
    <n v="110440"/>
    <n v="179721"/>
  </r>
  <r>
    <x v="11"/>
    <x v="3"/>
    <x v="3"/>
    <n v="295963"/>
    <n v="97404"/>
    <n v="198559"/>
  </r>
  <r>
    <x v="11"/>
    <x v="3"/>
    <x v="4"/>
    <n v="277923"/>
    <n v="98505"/>
    <n v="179418"/>
  </r>
  <r>
    <x v="11"/>
    <x v="3"/>
    <x v="5"/>
    <n v="236021"/>
    <n v="89874"/>
    <n v="146147"/>
  </r>
  <r>
    <x v="11"/>
    <x v="3"/>
    <x v="6"/>
    <n v="215533"/>
    <n v="97355"/>
    <n v="118178"/>
  </r>
  <r>
    <x v="11"/>
    <x v="3"/>
    <x v="7"/>
    <n v="225087"/>
    <n v="106363"/>
    <n v="118724"/>
  </r>
  <r>
    <x v="11"/>
    <x v="3"/>
    <x v="8"/>
    <n v="321479"/>
    <n v="128154"/>
    <n v="193325"/>
  </r>
  <r>
    <x v="11"/>
    <x v="3"/>
    <x v="9"/>
    <n v="322585"/>
    <n v="174790"/>
    <n v="147795"/>
  </r>
  <r>
    <x v="11"/>
    <x v="3"/>
    <x v="10"/>
    <n v="293502"/>
    <n v="153923"/>
    <n v="139579"/>
  </r>
  <r>
    <x v="11"/>
    <x v="3"/>
    <x v="11"/>
    <n v="297030"/>
    <n v="246482"/>
    <n v="50548"/>
  </r>
  <r>
    <x v="11"/>
    <x v="4"/>
    <x v="0"/>
    <n v="4501"/>
    <n v="1053"/>
    <n v="3448"/>
  </r>
  <r>
    <x v="11"/>
    <x v="4"/>
    <x v="1"/>
    <n v="3185"/>
    <n v="484"/>
    <n v="2701"/>
  </r>
  <r>
    <x v="11"/>
    <x v="4"/>
    <x v="2"/>
    <n v="2739"/>
    <n v="293"/>
    <n v="2446"/>
  </r>
  <r>
    <x v="11"/>
    <x v="4"/>
    <x v="3"/>
    <n v="2562"/>
    <n v="322"/>
    <n v="2240"/>
  </r>
  <r>
    <x v="11"/>
    <x v="4"/>
    <x v="4"/>
    <n v="2048"/>
    <n v="491"/>
    <n v="1557"/>
  </r>
  <r>
    <x v="11"/>
    <x v="4"/>
    <x v="5"/>
    <n v="19342"/>
    <n v="2983"/>
    <n v="16359"/>
  </r>
  <r>
    <x v="11"/>
    <x v="4"/>
    <x v="6"/>
    <n v="31800"/>
    <n v="7185"/>
    <n v="24615"/>
  </r>
  <r>
    <x v="11"/>
    <x v="4"/>
    <x v="7"/>
    <n v="26806"/>
    <n v="15139"/>
    <n v="11667"/>
  </r>
  <r>
    <x v="11"/>
    <x v="4"/>
    <x v="8"/>
    <n v="12147"/>
    <n v="2089"/>
    <n v="10058"/>
  </r>
  <r>
    <x v="11"/>
    <x v="4"/>
    <x v="9"/>
    <n v="8894"/>
    <n v="2636"/>
    <n v="6258"/>
  </r>
  <r>
    <x v="11"/>
    <x v="4"/>
    <x v="10"/>
    <n v="11331"/>
    <n v="3851"/>
    <n v="7480"/>
  </r>
  <r>
    <x v="11"/>
    <x v="4"/>
    <x v="11"/>
    <n v="3895"/>
    <n v="1922"/>
    <n v="1973"/>
  </r>
  <r>
    <x v="12"/>
    <x v="0"/>
    <x v="0"/>
    <n v="61970"/>
    <n v="20955"/>
    <n v="41015"/>
  </r>
  <r>
    <x v="12"/>
    <x v="0"/>
    <x v="1"/>
    <n v="69872"/>
    <n v="24364"/>
    <n v="45508"/>
  </r>
  <r>
    <x v="12"/>
    <x v="0"/>
    <x v="2"/>
    <n v="82104"/>
    <n v="28028"/>
    <n v="54076"/>
  </r>
  <r>
    <x v="12"/>
    <x v="0"/>
    <x v="3"/>
    <n v="76621"/>
    <n v="23090"/>
    <n v="53531"/>
  </r>
  <r>
    <x v="12"/>
    <x v="0"/>
    <x v="4"/>
    <n v="72426"/>
    <n v="24322"/>
    <n v="48104"/>
  </r>
  <r>
    <x v="12"/>
    <x v="0"/>
    <x v="5"/>
    <n v="82981"/>
    <n v="27663"/>
    <n v="55318"/>
  </r>
  <r>
    <x v="12"/>
    <x v="0"/>
    <x v="6"/>
    <n v="74310"/>
    <n v="23650"/>
    <n v="50660"/>
  </r>
  <r>
    <x v="12"/>
    <x v="0"/>
    <x v="7"/>
    <n v="79296"/>
    <n v="30386"/>
    <n v="48910"/>
  </r>
  <r>
    <x v="12"/>
    <x v="0"/>
    <x v="8"/>
    <n v="79017"/>
    <n v="24200"/>
    <n v="54817"/>
  </r>
  <r>
    <x v="12"/>
    <x v="0"/>
    <x v="9"/>
    <n v="75058"/>
    <n v="23198"/>
    <n v="51860"/>
  </r>
  <r>
    <x v="12"/>
    <x v="0"/>
    <x v="10"/>
    <n v="71365"/>
    <n v="25786"/>
    <n v="45579"/>
  </r>
  <r>
    <x v="12"/>
    <x v="0"/>
    <x v="11"/>
    <n v="76742"/>
    <n v="35759"/>
    <n v="40983"/>
  </r>
  <r>
    <x v="12"/>
    <x v="1"/>
    <x v="0"/>
    <n v="74807"/>
    <n v="17308"/>
    <n v="57499"/>
  </r>
  <r>
    <x v="12"/>
    <x v="1"/>
    <x v="1"/>
    <n v="89216"/>
    <n v="20513"/>
    <n v="68703"/>
  </r>
  <r>
    <x v="12"/>
    <x v="1"/>
    <x v="2"/>
    <n v="100003"/>
    <n v="26821"/>
    <n v="73182"/>
  </r>
  <r>
    <x v="12"/>
    <x v="1"/>
    <x v="3"/>
    <n v="94825"/>
    <n v="22123"/>
    <n v="72702"/>
  </r>
  <r>
    <x v="12"/>
    <x v="1"/>
    <x v="4"/>
    <n v="87663"/>
    <n v="24949"/>
    <n v="62714"/>
  </r>
  <r>
    <x v="12"/>
    <x v="1"/>
    <x v="5"/>
    <n v="84674"/>
    <n v="23088"/>
    <n v="61586"/>
  </r>
  <r>
    <x v="12"/>
    <x v="1"/>
    <x v="6"/>
    <n v="97267"/>
    <n v="26481"/>
    <n v="70786"/>
  </r>
  <r>
    <x v="12"/>
    <x v="1"/>
    <x v="7"/>
    <n v="110736"/>
    <n v="32391"/>
    <n v="78345"/>
  </r>
  <r>
    <x v="12"/>
    <x v="1"/>
    <x v="8"/>
    <n v="102580"/>
    <n v="20106"/>
    <n v="82474"/>
  </r>
  <r>
    <x v="12"/>
    <x v="1"/>
    <x v="9"/>
    <n v="99666"/>
    <n v="23432"/>
    <n v="76234"/>
  </r>
  <r>
    <x v="12"/>
    <x v="1"/>
    <x v="10"/>
    <n v="95669"/>
    <n v="26537"/>
    <n v="69132"/>
  </r>
  <r>
    <x v="12"/>
    <x v="1"/>
    <x v="11"/>
    <n v="91625"/>
    <n v="43728"/>
    <n v="47897"/>
  </r>
  <r>
    <x v="12"/>
    <x v="2"/>
    <x v="0"/>
    <n v="29015"/>
    <n v="14099"/>
    <n v="14916"/>
  </r>
  <r>
    <x v="12"/>
    <x v="2"/>
    <x v="1"/>
    <n v="30889"/>
    <n v="10730"/>
    <n v="20159"/>
  </r>
  <r>
    <x v="12"/>
    <x v="2"/>
    <x v="2"/>
    <n v="34719"/>
    <n v="12454"/>
    <n v="22265"/>
  </r>
  <r>
    <x v="12"/>
    <x v="2"/>
    <x v="3"/>
    <n v="46475"/>
    <n v="12273"/>
    <n v="34202"/>
  </r>
  <r>
    <x v="12"/>
    <x v="2"/>
    <x v="4"/>
    <n v="44312"/>
    <n v="11595"/>
    <n v="32717"/>
  </r>
  <r>
    <x v="12"/>
    <x v="2"/>
    <x v="5"/>
    <n v="40671"/>
    <n v="11817"/>
    <n v="28854"/>
  </r>
  <r>
    <x v="12"/>
    <x v="2"/>
    <x v="6"/>
    <n v="40392"/>
    <n v="11681"/>
    <n v="28711"/>
  </r>
  <r>
    <x v="12"/>
    <x v="2"/>
    <x v="7"/>
    <n v="35073"/>
    <n v="13183"/>
    <n v="21890"/>
  </r>
  <r>
    <x v="12"/>
    <x v="2"/>
    <x v="8"/>
    <n v="47461"/>
    <n v="10132"/>
    <n v="37329"/>
  </r>
  <r>
    <x v="12"/>
    <x v="2"/>
    <x v="9"/>
    <n v="60154"/>
    <n v="13008"/>
    <n v="47146"/>
  </r>
  <r>
    <x v="12"/>
    <x v="2"/>
    <x v="10"/>
    <n v="58231"/>
    <n v="18021"/>
    <n v="40210"/>
  </r>
  <r>
    <x v="12"/>
    <x v="2"/>
    <x v="11"/>
    <n v="61452"/>
    <n v="33120"/>
    <n v="28332"/>
  </r>
  <r>
    <x v="12"/>
    <x v="3"/>
    <x v="0"/>
    <n v="90035"/>
    <n v="36321"/>
    <n v="53714"/>
  </r>
  <r>
    <x v="12"/>
    <x v="3"/>
    <x v="1"/>
    <n v="103659"/>
    <n v="40569"/>
    <n v="63090"/>
  </r>
  <r>
    <x v="12"/>
    <x v="3"/>
    <x v="2"/>
    <n v="169765"/>
    <n v="50598"/>
    <n v="119167"/>
  </r>
  <r>
    <x v="12"/>
    <x v="3"/>
    <x v="3"/>
    <n v="171304"/>
    <n v="42069"/>
    <n v="129235"/>
  </r>
  <r>
    <x v="12"/>
    <x v="3"/>
    <x v="4"/>
    <n v="159808"/>
    <n v="44766"/>
    <n v="115042"/>
  </r>
  <r>
    <x v="12"/>
    <x v="3"/>
    <x v="5"/>
    <n v="132263"/>
    <n v="38694"/>
    <n v="93569"/>
  </r>
  <r>
    <x v="12"/>
    <x v="3"/>
    <x v="6"/>
    <n v="116041"/>
    <n v="39572"/>
    <n v="76469"/>
  </r>
  <r>
    <x v="12"/>
    <x v="3"/>
    <x v="7"/>
    <n v="116419"/>
    <n v="41954"/>
    <n v="74465"/>
  </r>
  <r>
    <x v="12"/>
    <x v="3"/>
    <x v="8"/>
    <n v="149869"/>
    <n v="50807"/>
    <n v="99062"/>
  </r>
  <r>
    <x v="12"/>
    <x v="3"/>
    <x v="9"/>
    <n v="172520"/>
    <n v="77829"/>
    <n v="94691"/>
  </r>
  <r>
    <x v="12"/>
    <x v="3"/>
    <x v="10"/>
    <n v="182235"/>
    <n v="74389"/>
    <n v="107846"/>
  </r>
  <r>
    <x v="12"/>
    <x v="3"/>
    <x v="11"/>
    <n v="183818"/>
    <n v="133979"/>
    <n v="49839"/>
  </r>
  <r>
    <x v="12"/>
    <x v="4"/>
    <x v="0"/>
    <n v="2341"/>
    <n v="529"/>
    <n v="1812"/>
  </r>
  <r>
    <x v="12"/>
    <x v="4"/>
    <x v="1"/>
    <n v="1764"/>
    <n v="310"/>
    <n v="1454"/>
  </r>
  <r>
    <x v="12"/>
    <x v="4"/>
    <x v="2"/>
    <n v="1475"/>
    <n v="216"/>
    <n v="1259"/>
  </r>
  <r>
    <x v="12"/>
    <x v="4"/>
    <x v="3"/>
    <n v="1472"/>
    <n v="204"/>
    <n v="1268"/>
  </r>
  <r>
    <x v="12"/>
    <x v="4"/>
    <x v="4"/>
    <n v="1232"/>
    <n v="187"/>
    <n v="1045"/>
  </r>
  <r>
    <x v="12"/>
    <x v="4"/>
    <x v="5"/>
    <n v="7819"/>
    <n v="924"/>
    <n v="6895"/>
  </r>
  <r>
    <x v="12"/>
    <x v="4"/>
    <x v="6"/>
    <n v="14463"/>
    <n v="2944"/>
    <n v="11519"/>
  </r>
  <r>
    <x v="12"/>
    <x v="4"/>
    <x v="7"/>
    <n v="11937"/>
    <n v="5365"/>
    <n v="6572"/>
  </r>
  <r>
    <x v="12"/>
    <x v="4"/>
    <x v="8"/>
    <n v="6797"/>
    <n v="563"/>
    <n v="6234"/>
  </r>
  <r>
    <x v="12"/>
    <x v="4"/>
    <x v="9"/>
    <n v="4795"/>
    <n v="636"/>
    <n v="4159"/>
  </r>
  <r>
    <x v="12"/>
    <x v="4"/>
    <x v="10"/>
    <n v="5476"/>
    <n v="1100"/>
    <n v="4376"/>
  </r>
  <r>
    <x v="12"/>
    <x v="4"/>
    <x v="11"/>
    <n v="4631"/>
    <n v="562"/>
    <n v="4069"/>
  </r>
  <r>
    <x v="13"/>
    <x v="0"/>
    <x v="0"/>
    <n v="46735"/>
    <n v="7428"/>
    <n v="39307"/>
  </r>
  <r>
    <x v="13"/>
    <x v="0"/>
    <x v="1"/>
    <n v="51655"/>
    <n v="7743"/>
    <n v="43912"/>
  </r>
  <r>
    <x v="13"/>
    <x v="0"/>
    <x v="2"/>
    <n v="54328"/>
    <n v="9805"/>
    <n v="44523"/>
  </r>
  <r>
    <x v="13"/>
    <x v="0"/>
    <x v="3"/>
    <n v="53374"/>
    <n v="9154"/>
    <n v="44220"/>
  </r>
  <r>
    <x v="13"/>
    <x v="0"/>
    <x v="4"/>
    <n v="50243"/>
    <n v="10163"/>
    <n v="40080"/>
  </r>
  <r>
    <x v="13"/>
    <x v="0"/>
    <x v="5"/>
    <n v="52918"/>
    <n v="8596"/>
    <n v="44322"/>
  </r>
  <r>
    <x v="13"/>
    <x v="0"/>
    <x v="6"/>
    <n v="52114"/>
    <n v="8599"/>
    <n v="43515"/>
  </r>
  <r>
    <x v="13"/>
    <x v="0"/>
    <x v="7"/>
    <n v="53743"/>
    <n v="10443"/>
    <n v="43300"/>
  </r>
  <r>
    <x v="13"/>
    <x v="0"/>
    <x v="8"/>
    <n v="56912"/>
    <n v="8293"/>
    <n v="48619"/>
  </r>
  <r>
    <x v="13"/>
    <x v="0"/>
    <x v="9"/>
    <n v="57464"/>
    <n v="8088"/>
    <n v="49376"/>
  </r>
  <r>
    <x v="13"/>
    <x v="0"/>
    <x v="10"/>
    <n v="53355"/>
    <n v="10887"/>
    <n v="42468"/>
  </r>
  <r>
    <x v="13"/>
    <x v="0"/>
    <x v="11"/>
    <n v="48362"/>
    <n v="17102"/>
    <n v="31260"/>
  </r>
  <r>
    <x v="13"/>
    <x v="1"/>
    <x v="0"/>
    <n v="49001"/>
    <n v="6164"/>
    <n v="42837"/>
  </r>
  <r>
    <x v="13"/>
    <x v="1"/>
    <x v="1"/>
    <n v="51251"/>
    <n v="6013"/>
    <n v="45238"/>
  </r>
  <r>
    <x v="13"/>
    <x v="1"/>
    <x v="2"/>
    <n v="51362"/>
    <n v="7495"/>
    <n v="43867"/>
  </r>
  <r>
    <x v="13"/>
    <x v="1"/>
    <x v="3"/>
    <n v="53862"/>
    <n v="7627"/>
    <n v="46235"/>
  </r>
  <r>
    <x v="13"/>
    <x v="1"/>
    <x v="4"/>
    <n v="51534"/>
    <n v="8905"/>
    <n v="42629"/>
  </r>
  <r>
    <x v="13"/>
    <x v="1"/>
    <x v="5"/>
    <n v="49870"/>
    <n v="7260"/>
    <n v="42610"/>
  </r>
  <r>
    <x v="13"/>
    <x v="1"/>
    <x v="6"/>
    <n v="52336"/>
    <n v="9269"/>
    <n v="43067"/>
  </r>
  <r>
    <x v="13"/>
    <x v="1"/>
    <x v="7"/>
    <n v="54647"/>
    <n v="12225"/>
    <n v="42422"/>
  </r>
  <r>
    <x v="13"/>
    <x v="1"/>
    <x v="8"/>
    <n v="55527"/>
    <n v="7653"/>
    <n v="47874"/>
  </r>
  <r>
    <x v="13"/>
    <x v="1"/>
    <x v="9"/>
    <n v="64950"/>
    <n v="8034"/>
    <n v="56916"/>
  </r>
  <r>
    <x v="13"/>
    <x v="1"/>
    <x v="10"/>
    <n v="60322"/>
    <n v="13357"/>
    <n v="46965"/>
  </r>
  <r>
    <x v="13"/>
    <x v="1"/>
    <x v="11"/>
    <n v="53754"/>
    <n v="21707"/>
    <n v="32047"/>
  </r>
  <r>
    <x v="13"/>
    <x v="2"/>
    <x v="0"/>
    <n v="25070"/>
    <n v="5704"/>
    <n v="19366"/>
  </r>
  <r>
    <x v="13"/>
    <x v="2"/>
    <x v="1"/>
    <n v="25723"/>
    <n v="4922"/>
    <n v="20801"/>
  </r>
  <r>
    <x v="13"/>
    <x v="2"/>
    <x v="2"/>
    <n v="24187"/>
    <n v="4798"/>
    <n v="19389"/>
  </r>
  <r>
    <x v="13"/>
    <x v="2"/>
    <x v="3"/>
    <n v="26548"/>
    <n v="5192"/>
    <n v="21356"/>
  </r>
  <r>
    <x v="13"/>
    <x v="2"/>
    <x v="4"/>
    <n v="26175"/>
    <n v="6018"/>
    <n v="20157"/>
  </r>
  <r>
    <x v="13"/>
    <x v="2"/>
    <x v="5"/>
    <n v="24805"/>
    <n v="4426"/>
    <n v="20379"/>
  </r>
  <r>
    <x v="13"/>
    <x v="2"/>
    <x v="6"/>
    <n v="23236"/>
    <n v="5721"/>
    <n v="17515"/>
  </r>
  <r>
    <x v="13"/>
    <x v="2"/>
    <x v="7"/>
    <n v="24612"/>
    <n v="7015"/>
    <n v="17597"/>
  </r>
  <r>
    <x v="13"/>
    <x v="2"/>
    <x v="8"/>
    <n v="24917"/>
    <n v="5305"/>
    <n v="19612"/>
  </r>
  <r>
    <x v="13"/>
    <x v="2"/>
    <x v="9"/>
    <n v="29384"/>
    <n v="5571"/>
    <n v="23813"/>
  </r>
  <r>
    <x v="13"/>
    <x v="2"/>
    <x v="10"/>
    <n v="28491"/>
    <n v="8058"/>
    <n v="20433"/>
  </r>
  <r>
    <x v="13"/>
    <x v="2"/>
    <x v="11"/>
    <n v="26524"/>
    <n v="13357"/>
    <n v="13167"/>
  </r>
  <r>
    <x v="13"/>
    <x v="3"/>
    <x v="0"/>
    <n v="83388"/>
    <n v="12897"/>
    <n v="70491"/>
  </r>
  <r>
    <x v="13"/>
    <x v="3"/>
    <x v="1"/>
    <n v="86252"/>
    <n v="11350"/>
    <n v="74902"/>
  </r>
  <r>
    <x v="13"/>
    <x v="3"/>
    <x v="2"/>
    <n v="95148"/>
    <n v="13387"/>
    <n v="81761"/>
  </r>
  <r>
    <x v="13"/>
    <x v="3"/>
    <x v="3"/>
    <n v="102416"/>
    <n v="12754"/>
    <n v="89662"/>
  </r>
  <r>
    <x v="13"/>
    <x v="3"/>
    <x v="4"/>
    <n v="101179"/>
    <n v="15393"/>
    <n v="85786"/>
  </r>
  <r>
    <x v="13"/>
    <x v="3"/>
    <x v="5"/>
    <n v="90219"/>
    <n v="11113"/>
    <n v="79106"/>
  </r>
  <r>
    <x v="13"/>
    <x v="3"/>
    <x v="6"/>
    <n v="87747"/>
    <n v="12937"/>
    <n v="74810"/>
  </r>
  <r>
    <x v="13"/>
    <x v="3"/>
    <x v="7"/>
    <n v="79527"/>
    <n v="12899"/>
    <n v="66628"/>
  </r>
  <r>
    <x v="13"/>
    <x v="3"/>
    <x v="8"/>
    <n v="78498"/>
    <n v="11063"/>
    <n v="67435"/>
  </r>
  <r>
    <x v="13"/>
    <x v="3"/>
    <x v="9"/>
    <n v="75582"/>
    <n v="11768"/>
    <n v="63814"/>
  </r>
  <r>
    <x v="13"/>
    <x v="3"/>
    <x v="10"/>
    <n v="78635"/>
    <n v="21874"/>
    <n v="56761"/>
  </r>
  <r>
    <x v="13"/>
    <x v="3"/>
    <x v="11"/>
    <n v="67548"/>
    <n v="34583"/>
    <n v="32965"/>
  </r>
  <r>
    <x v="13"/>
    <x v="4"/>
    <x v="0"/>
    <n v="2666"/>
    <n v="191"/>
    <n v="2475"/>
  </r>
  <r>
    <x v="13"/>
    <x v="4"/>
    <x v="1"/>
    <n v="2458"/>
    <n v="147"/>
    <n v="2311"/>
  </r>
  <r>
    <x v="13"/>
    <x v="4"/>
    <x v="2"/>
    <n v="2376"/>
    <n v="128"/>
    <n v="2248"/>
  </r>
  <r>
    <x v="13"/>
    <x v="4"/>
    <x v="3"/>
    <n v="2253"/>
    <n v="105"/>
    <n v="2148"/>
  </r>
  <r>
    <x v="13"/>
    <x v="4"/>
    <x v="4"/>
    <n v="2148"/>
    <n v="90"/>
    <n v="2058"/>
  </r>
  <r>
    <x v="13"/>
    <x v="4"/>
    <x v="5"/>
    <n v="2064"/>
    <n v="76"/>
    <n v="1988"/>
  </r>
  <r>
    <x v="13"/>
    <x v="4"/>
    <x v="6"/>
    <n v="3823"/>
    <n v="493"/>
    <n v="3330"/>
  </r>
  <r>
    <x v="13"/>
    <x v="4"/>
    <x v="7"/>
    <n v="4950"/>
    <n v="1499"/>
    <n v="3451"/>
  </r>
  <r>
    <x v="13"/>
    <x v="4"/>
    <x v="8"/>
    <n v="3741"/>
    <n v="326"/>
    <n v="3415"/>
  </r>
  <r>
    <x v="13"/>
    <x v="4"/>
    <x v="9"/>
    <n v="3485"/>
    <n v="324"/>
    <n v="3161"/>
  </r>
  <r>
    <x v="13"/>
    <x v="4"/>
    <x v="10"/>
    <n v="3330"/>
    <n v="481"/>
    <n v="2849"/>
  </r>
  <r>
    <x v="13"/>
    <x v="4"/>
    <x v="11"/>
    <n v="2940"/>
    <n v="359"/>
    <n v="2581"/>
  </r>
  <r>
    <x v="14"/>
    <x v="0"/>
    <x v="0"/>
    <n v="118592"/>
    <n v="56646"/>
    <n v="61946"/>
  </r>
  <r>
    <x v="14"/>
    <x v="0"/>
    <x v="1"/>
    <n v="147827"/>
    <n v="64902"/>
    <n v="82925"/>
  </r>
  <r>
    <x v="14"/>
    <x v="0"/>
    <x v="2"/>
    <n v="166048"/>
    <n v="76832"/>
    <n v="89216"/>
  </r>
  <r>
    <x v="14"/>
    <x v="0"/>
    <x v="3"/>
    <n v="144730"/>
    <n v="63535"/>
    <n v="81195"/>
  </r>
  <r>
    <x v="14"/>
    <x v="0"/>
    <x v="4"/>
    <n v="140328"/>
    <n v="67440"/>
    <n v="72888"/>
  </r>
  <r>
    <x v="14"/>
    <x v="0"/>
    <x v="5"/>
    <n v="166411"/>
    <n v="72667"/>
    <n v="93744"/>
  </r>
  <r>
    <x v="14"/>
    <x v="0"/>
    <x v="6"/>
    <n v="147313"/>
    <n v="63968"/>
    <n v="83345"/>
  </r>
  <r>
    <x v="14"/>
    <x v="0"/>
    <x v="7"/>
    <n v="168493"/>
    <n v="79055"/>
    <n v="89438"/>
  </r>
  <r>
    <x v="14"/>
    <x v="0"/>
    <x v="8"/>
    <n v="170749"/>
    <n v="66099"/>
    <n v="104650"/>
  </r>
  <r>
    <x v="14"/>
    <x v="0"/>
    <x v="9"/>
    <n v="145880"/>
    <n v="64689"/>
    <n v="81191"/>
  </r>
  <r>
    <x v="14"/>
    <x v="0"/>
    <x v="10"/>
    <n v="136603"/>
    <n v="72554"/>
    <n v="64049"/>
  </r>
  <r>
    <x v="14"/>
    <x v="0"/>
    <x v="11"/>
    <n v="149283"/>
    <n v="92099"/>
    <n v="57184"/>
  </r>
  <r>
    <x v="14"/>
    <x v="1"/>
    <x v="0"/>
    <n v="121308"/>
    <n v="52468"/>
    <n v="68840"/>
  </r>
  <r>
    <x v="14"/>
    <x v="1"/>
    <x v="1"/>
    <n v="139897"/>
    <n v="56626"/>
    <n v="83271"/>
  </r>
  <r>
    <x v="14"/>
    <x v="1"/>
    <x v="2"/>
    <n v="169154"/>
    <n v="73993"/>
    <n v="95161"/>
  </r>
  <r>
    <x v="14"/>
    <x v="1"/>
    <x v="3"/>
    <n v="148648"/>
    <n v="57220"/>
    <n v="91428"/>
  </r>
  <r>
    <x v="14"/>
    <x v="1"/>
    <x v="4"/>
    <n v="143222"/>
    <n v="64282"/>
    <n v="78940"/>
  </r>
  <r>
    <x v="14"/>
    <x v="1"/>
    <x v="5"/>
    <n v="158476"/>
    <n v="60261"/>
    <n v="98215"/>
  </r>
  <r>
    <x v="14"/>
    <x v="1"/>
    <x v="6"/>
    <n v="199964"/>
    <n v="78413"/>
    <n v="121551"/>
  </r>
  <r>
    <x v="14"/>
    <x v="1"/>
    <x v="7"/>
    <n v="248904"/>
    <n v="83393"/>
    <n v="165511"/>
  </r>
  <r>
    <x v="14"/>
    <x v="1"/>
    <x v="8"/>
    <n v="225615"/>
    <n v="62532"/>
    <n v="163083"/>
  </r>
  <r>
    <x v="14"/>
    <x v="1"/>
    <x v="9"/>
    <n v="196183"/>
    <n v="63115"/>
    <n v="133068"/>
  </r>
  <r>
    <x v="14"/>
    <x v="1"/>
    <x v="10"/>
    <n v="183527"/>
    <n v="69351"/>
    <n v="114176"/>
  </r>
  <r>
    <x v="14"/>
    <x v="1"/>
    <x v="11"/>
    <n v="173264"/>
    <n v="105775"/>
    <n v="67489"/>
  </r>
  <r>
    <x v="14"/>
    <x v="2"/>
    <x v="0"/>
    <n v="40410"/>
    <n v="19097"/>
    <n v="21313"/>
  </r>
  <r>
    <x v="14"/>
    <x v="2"/>
    <x v="1"/>
    <n v="39155"/>
    <n v="15640"/>
    <n v="23515"/>
  </r>
  <r>
    <x v="14"/>
    <x v="2"/>
    <x v="2"/>
    <n v="41186"/>
    <n v="16717"/>
    <n v="24469"/>
  </r>
  <r>
    <x v="14"/>
    <x v="2"/>
    <x v="3"/>
    <n v="58808"/>
    <n v="17282"/>
    <n v="41526"/>
  </r>
  <r>
    <x v="14"/>
    <x v="2"/>
    <x v="4"/>
    <n v="54419"/>
    <n v="19095"/>
    <n v="35324"/>
  </r>
  <r>
    <x v="14"/>
    <x v="2"/>
    <x v="5"/>
    <n v="45719"/>
    <n v="18020"/>
    <n v="27699"/>
  </r>
  <r>
    <x v="14"/>
    <x v="2"/>
    <x v="6"/>
    <n v="47515"/>
    <n v="19574"/>
    <n v="27941"/>
  </r>
  <r>
    <x v="14"/>
    <x v="2"/>
    <x v="7"/>
    <n v="45906"/>
    <n v="20887"/>
    <n v="25019"/>
  </r>
  <r>
    <x v="14"/>
    <x v="2"/>
    <x v="8"/>
    <n v="68746"/>
    <n v="16213"/>
    <n v="52533"/>
  </r>
  <r>
    <x v="14"/>
    <x v="2"/>
    <x v="9"/>
    <n v="80211"/>
    <n v="19407"/>
    <n v="60804"/>
  </r>
  <r>
    <x v="14"/>
    <x v="2"/>
    <x v="10"/>
    <n v="81327"/>
    <n v="24971"/>
    <n v="56356"/>
  </r>
  <r>
    <x v="14"/>
    <x v="2"/>
    <x v="11"/>
    <n v="84426"/>
    <n v="37827"/>
    <n v="46599"/>
  </r>
  <r>
    <x v="14"/>
    <x v="3"/>
    <x v="0"/>
    <n v="141917"/>
    <n v="66771"/>
    <n v="75146"/>
  </r>
  <r>
    <x v="14"/>
    <x v="3"/>
    <x v="1"/>
    <n v="177144"/>
    <n v="70916"/>
    <n v="106228"/>
  </r>
  <r>
    <x v="14"/>
    <x v="3"/>
    <x v="2"/>
    <n v="241178"/>
    <n v="91646"/>
    <n v="149532"/>
  </r>
  <r>
    <x v="14"/>
    <x v="3"/>
    <x v="3"/>
    <n v="252049"/>
    <n v="70986"/>
    <n v="181063"/>
  </r>
  <r>
    <x v="14"/>
    <x v="3"/>
    <x v="4"/>
    <n v="244465"/>
    <n v="79742"/>
    <n v="164723"/>
  </r>
  <r>
    <x v="14"/>
    <x v="3"/>
    <x v="5"/>
    <n v="206356"/>
    <n v="72016"/>
    <n v="134340"/>
  </r>
  <r>
    <x v="14"/>
    <x v="3"/>
    <x v="6"/>
    <n v="191351"/>
    <n v="80180"/>
    <n v="111171"/>
  </r>
  <r>
    <x v="14"/>
    <x v="3"/>
    <x v="7"/>
    <n v="195066"/>
    <n v="80708"/>
    <n v="114358"/>
  </r>
  <r>
    <x v="14"/>
    <x v="3"/>
    <x v="8"/>
    <n v="263362"/>
    <n v="86552"/>
    <n v="176810"/>
  </r>
  <r>
    <x v="14"/>
    <x v="3"/>
    <x v="9"/>
    <n v="272573"/>
    <n v="107199"/>
    <n v="165374"/>
  </r>
  <r>
    <x v="14"/>
    <x v="3"/>
    <x v="10"/>
    <n v="258420"/>
    <n v="113844"/>
    <n v="144576"/>
  </r>
  <r>
    <x v="14"/>
    <x v="3"/>
    <x v="11"/>
    <n v="255809"/>
    <n v="187588"/>
    <n v="68221"/>
  </r>
  <r>
    <x v="14"/>
    <x v="4"/>
    <x v="0"/>
    <n v="4731"/>
    <n v="812"/>
    <n v="3919"/>
  </r>
  <r>
    <x v="14"/>
    <x v="4"/>
    <x v="1"/>
    <n v="3646"/>
    <n v="470"/>
    <n v="3176"/>
  </r>
  <r>
    <x v="14"/>
    <x v="4"/>
    <x v="2"/>
    <n v="3176"/>
    <n v="293"/>
    <n v="2883"/>
  </r>
  <r>
    <x v="14"/>
    <x v="4"/>
    <x v="3"/>
    <n v="2894"/>
    <n v="307"/>
    <n v="2587"/>
  </r>
  <r>
    <x v="14"/>
    <x v="4"/>
    <x v="4"/>
    <n v="2491"/>
    <n v="321"/>
    <n v="2170"/>
  </r>
  <r>
    <x v="14"/>
    <x v="4"/>
    <x v="5"/>
    <n v="13139"/>
    <n v="1455"/>
    <n v="11684"/>
  </r>
  <r>
    <x v="14"/>
    <x v="4"/>
    <x v="6"/>
    <n v="22310"/>
    <n v="3668"/>
    <n v="18642"/>
  </r>
  <r>
    <x v="14"/>
    <x v="4"/>
    <x v="7"/>
    <n v="19196"/>
    <n v="8845"/>
    <n v="10351"/>
  </r>
  <r>
    <x v="14"/>
    <x v="4"/>
    <x v="8"/>
    <n v="10218"/>
    <n v="1102"/>
    <n v="9116"/>
  </r>
  <r>
    <x v="14"/>
    <x v="4"/>
    <x v="9"/>
    <n v="7483"/>
    <n v="1343"/>
    <n v="6140"/>
  </r>
  <r>
    <x v="14"/>
    <x v="4"/>
    <x v="10"/>
    <n v="8925"/>
    <n v="2284"/>
    <n v="6641"/>
  </r>
  <r>
    <x v="14"/>
    <x v="4"/>
    <x v="11"/>
    <n v="6786"/>
    <n v="1024"/>
    <n v="5762"/>
  </r>
  <r>
    <x v="15"/>
    <x v="0"/>
    <x v="0"/>
    <n v="129995"/>
    <n v="60309"/>
    <n v="69686"/>
  </r>
  <r>
    <x v="15"/>
    <x v="0"/>
    <x v="1"/>
    <n v="160066"/>
    <n v="75606"/>
    <n v="84460"/>
  </r>
  <r>
    <x v="15"/>
    <x v="0"/>
    <x v="2"/>
    <n v="180495"/>
    <n v="83662"/>
    <n v="96833"/>
  </r>
  <r>
    <x v="15"/>
    <x v="0"/>
    <x v="3"/>
    <n v="158158"/>
    <n v="66516"/>
    <n v="91642"/>
  </r>
  <r>
    <x v="15"/>
    <x v="0"/>
    <x v="4"/>
    <n v="147428"/>
    <n v="72676"/>
    <n v="74752"/>
  </r>
  <r>
    <x v="15"/>
    <x v="0"/>
    <x v="5"/>
    <n v="190010"/>
    <n v="80702"/>
    <n v="109308"/>
  </r>
  <r>
    <x v="15"/>
    <x v="0"/>
    <x v="6"/>
    <n v="162720"/>
    <n v="71379"/>
    <n v="91341"/>
  </r>
  <r>
    <x v="15"/>
    <x v="0"/>
    <x v="7"/>
    <n v="178780"/>
    <n v="92651"/>
    <n v="86129"/>
  </r>
  <r>
    <x v="15"/>
    <x v="0"/>
    <x v="8"/>
    <n v="188608"/>
    <n v="73102"/>
    <n v="115506"/>
  </r>
  <r>
    <x v="15"/>
    <x v="0"/>
    <x v="9"/>
    <n v="158135"/>
    <n v="70558"/>
    <n v="87577"/>
  </r>
  <r>
    <x v="15"/>
    <x v="0"/>
    <x v="10"/>
    <n v="141870"/>
    <n v="80431"/>
    <n v="61439"/>
  </r>
  <r>
    <x v="15"/>
    <x v="0"/>
    <x v="11"/>
    <n v="157202"/>
    <n v="107418"/>
    <n v="49784"/>
  </r>
  <r>
    <x v="15"/>
    <x v="1"/>
    <x v="0"/>
    <n v="132032"/>
    <n v="49956"/>
    <n v="82076"/>
  </r>
  <r>
    <x v="15"/>
    <x v="1"/>
    <x v="1"/>
    <n v="181223"/>
    <n v="64585"/>
    <n v="116638"/>
  </r>
  <r>
    <x v="15"/>
    <x v="1"/>
    <x v="2"/>
    <n v="202178"/>
    <n v="87905"/>
    <n v="114273"/>
  </r>
  <r>
    <x v="15"/>
    <x v="1"/>
    <x v="3"/>
    <n v="177016"/>
    <n v="63555"/>
    <n v="113461"/>
  </r>
  <r>
    <x v="15"/>
    <x v="1"/>
    <x v="4"/>
    <n v="168463"/>
    <n v="66316"/>
    <n v="102147"/>
  </r>
  <r>
    <x v="15"/>
    <x v="1"/>
    <x v="5"/>
    <n v="170806"/>
    <n v="62502"/>
    <n v="108304"/>
  </r>
  <r>
    <x v="15"/>
    <x v="1"/>
    <x v="6"/>
    <n v="207778"/>
    <n v="82944"/>
    <n v="124834"/>
  </r>
  <r>
    <x v="15"/>
    <x v="1"/>
    <x v="7"/>
    <n v="245657"/>
    <n v="98006"/>
    <n v="147651"/>
  </r>
  <r>
    <x v="15"/>
    <x v="1"/>
    <x v="8"/>
    <n v="233115"/>
    <n v="62672"/>
    <n v="170443"/>
  </r>
  <r>
    <x v="15"/>
    <x v="1"/>
    <x v="9"/>
    <n v="205805"/>
    <n v="69019"/>
    <n v="136786"/>
  </r>
  <r>
    <x v="15"/>
    <x v="1"/>
    <x v="10"/>
    <n v="192497"/>
    <n v="73545"/>
    <n v="118952"/>
  </r>
  <r>
    <x v="15"/>
    <x v="1"/>
    <x v="11"/>
    <n v="188858"/>
    <n v="110333"/>
    <n v="78525"/>
  </r>
  <r>
    <x v="15"/>
    <x v="2"/>
    <x v="0"/>
    <n v="64128"/>
    <n v="25313"/>
    <n v="38815"/>
  </r>
  <r>
    <x v="15"/>
    <x v="2"/>
    <x v="1"/>
    <n v="61223"/>
    <n v="19072"/>
    <n v="42151"/>
  </r>
  <r>
    <x v="15"/>
    <x v="2"/>
    <x v="2"/>
    <n v="65759"/>
    <n v="22349"/>
    <n v="43410"/>
  </r>
  <r>
    <x v="15"/>
    <x v="2"/>
    <x v="3"/>
    <n v="83620"/>
    <n v="21439"/>
    <n v="62181"/>
  </r>
  <r>
    <x v="15"/>
    <x v="2"/>
    <x v="4"/>
    <n v="74966"/>
    <n v="22326"/>
    <n v="52640"/>
  </r>
  <r>
    <x v="15"/>
    <x v="2"/>
    <x v="5"/>
    <n v="68768"/>
    <n v="23073"/>
    <n v="45695"/>
  </r>
  <r>
    <x v="15"/>
    <x v="2"/>
    <x v="6"/>
    <n v="65524"/>
    <n v="25910"/>
    <n v="39614"/>
  </r>
  <r>
    <x v="15"/>
    <x v="2"/>
    <x v="7"/>
    <n v="59657"/>
    <n v="32250"/>
    <n v="27407"/>
  </r>
  <r>
    <x v="15"/>
    <x v="2"/>
    <x v="8"/>
    <n v="89286"/>
    <n v="23843"/>
    <n v="65443"/>
  </r>
  <r>
    <x v="15"/>
    <x v="2"/>
    <x v="9"/>
    <n v="110867"/>
    <n v="29546"/>
    <n v="81321"/>
  </r>
  <r>
    <x v="15"/>
    <x v="2"/>
    <x v="10"/>
    <n v="108335"/>
    <n v="39145"/>
    <n v="69190"/>
  </r>
  <r>
    <x v="15"/>
    <x v="2"/>
    <x v="11"/>
    <n v="112283"/>
    <n v="62570"/>
    <n v="49713"/>
  </r>
  <r>
    <x v="15"/>
    <x v="3"/>
    <x v="0"/>
    <n v="154884"/>
    <n v="67941"/>
    <n v="86943"/>
  </r>
  <r>
    <x v="15"/>
    <x v="3"/>
    <x v="1"/>
    <n v="177064"/>
    <n v="84598"/>
    <n v="92466"/>
  </r>
  <r>
    <x v="15"/>
    <x v="3"/>
    <x v="2"/>
    <n v="287563"/>
    <n v="111121"/>
    <n v="176442"/>
  </r>
  <r>
    <x v="15"/>
    <x v="3"/>
    <x v="3"/>
    <n v="286526"/>
    <n v="84279"/>
    <n v="202247"/>
  </r>
  <r>
    <x v="15"/>
    <x v="3"/>
    <x v="4"/>
    <n v="262614"/>
    <n v="87537"/>
    <n v="175077"/>
  </r>
  <r>
    <x v="15"/>
    <x v="3"/>
    <x v="5"/>
    <n v="213633"/>
    <n v="80046"/>
    <n v="133587"/>
  </r>
  <r>
    <x v="15"/>
    <x v="3"/>
    <x v="6"/>
    <n v="192492"/>
    <n v="87748"/>
    <n v="104744"/>
  </r>
  <r>
    <x v="15"/>
    <x v="3"/>
    <x v="7"/>
    <n v="194428"/>
    <n v="103336"/>
    <n v="91092"/>
  </r>
  <r>
    <x v="15"/>
    <x v="3"/>
    <x v="8"/>
    <n v="262875"/>
    <n v="113583"/>
    <n v="149292"/>
  </r>
  <r>
    <x v="15"/>
    <x v="3"/>
    <x v="9"/>
    <n v="298375"/>
    <n v="166889"/>
    <n v="131486"/>
  </r>
  <r>
    <x v="15"/>
    <x v="3"/>
    <x v="10"/>
    <n v="301583"/>
    <n v="158753"/>
    <n v="142830"/>
  </r>
  <r>
    <x v="15"/>
    <x v="3"/>
    <x v="11"/>
    <n v="292814"/>
    <n v="267058"/>
    <n v="25756"/>
  </r>
  <r>
    <x v="15"/>
    <x v="4"/>
    <x v="0"/>
    <n v="6380"/>
    <n v="999"/>
    <n v="5381"/>
  </r>
  <r>
    <x v="15"/>
    <x v="4"/>
    <x v="1"/>
    <n v="4785"/>
    <n v="622"/>
    <n v="4163"/>
  </r>
  <r>
    <x v="15"/>
    <x v="4"/>
    <x v="2"/>
    <n v="4196"/>
    <n v="426"/>
    <n v="3770"/>
  </r>
  <r>
    <x v="15"/>
    <x v="4"/>
    <x v="3"/>
    <n v="4054"/>
    <n v="379"/>
    <n v="3675"/>
  </r>
  <r>
    <x v="15"/>
    <x v="4"/>
    <x v="4"/>
    <n v="3160"/>
    <n v="464"/>
    <n v="2696"/>
  </r>
  <r>
    <x v="15"/>
    <x v="4"/>
    <x v="5"/>
    <n v="14585"/>
    <n v="1918"/>
    <n v="12667"/>
  </r>
  <r>
    <x v="15"/>
    <x v="4"/>
    <x v="6"/>
    <n v="24164"/>
    <n v="6021"/>
    <n v="18143"/>
  </r>
  <r>
    <x v="15"/>
    <x v="4"/>
    <x v="7"/>
    <n v="19855"/>
    <n v="11613"/>
    <n v="8242"/>
  </r>
  <r>
    <x v="15"/>
    <x v="4"/>
    <x v="8"/>
    <n v="11031"/>
    <n v="1540"/>
    <n v="9491"/>
  </r>
  <r>
    <x v="15"/>
    <x v="4"/>
    <x v="9"/>
    <n v="8601"/>
    <n v="1620"/>
    <n v="6981"/>
  </r>
  <r>
    <x v="15"/>
    <x v="4"/>
    <x v="10"/>
    <n v="10488"/>
    <n v="3058"/>
    <n v="7430"/>
  </r>
  <r>
    <x v="15"/>
    <x v="4"/>
    <x v="11"/>
    <n v="7534"/>
    <n v="1503"/>
    <n v="6031"/>
  </r>
  <r>
    <x v="16"/>
    <x v="0"/>
    <x v="0"/>
    <n v="57684"/>
    <n v="13044"/>
    <n v="44640"/>
  </r>
  <r>
    <x v="16"/>
    <x v="0"/>
    <x v="1"/>
    <n v="68108"/>
    <n v="15612"/>
    <n v="52496"/>
  </r>
  <r>
    <x v="16"/>
    <x v="0"/>
    <x v="2"/>
    <n v="76729"/>
    <n v="16852"/>
    <n v="59877"/>
  </r>
  <r>
    <x v="16"/>
    <x v="0"/>
    <x v="3"/>
    <n v="73236"/>
    <n v="14938"/>
    <n v="58298"/>
  </r>
  <r>
    <x v="16"/>
    <x v="0"/>
    <x v="4"/>
    <n v="69185"/>
    <n v="13908"/>
    <n v="55277"/>
  </r>
  <r>
    <x v="16"/>
    <x v="0"/>
    <x v="5"/>
    <n v="79157"/>
    <n v="15354"/>
    <n v="63803"/>
  </r>
  <r>
    <x v="16"/>
    <x v="0"/>
    <x v="6"/>
    <n v="71633"/>
    <n v="13957"/>
    <n v="57676"/>
  </r>
  <r>
    <x v="16"/>
    <x v="0"/>
    <x v="7"/>
    <n v="73556"/>
    <n v="18019"/>
    <n v="55537"/>
  </r>
  <r>
    <x v="16"/>
    <x v="0"/>
    <x v="8"/>
    <n v="72590"/>
    <n v="13491"/>
    <n v="59099"/>
  </r>
  <r>
    <x v="16"/>
    <x v="0"/>
    <x v="9"/>
    <n v="66747"/>
    <n v="13915"/>
    <n v="52832"/>
  </r>
  <r>
    <x v="16"/>
    <x v="0"/>
    <x v="10"/>
    <n v="62222"/>
    <n v="17192"/>
    <n v="45030"/>
  </r>
  <r>
    <x v="16"/>
    <x v="0"/>
    <x v="11"/>
    <n v="63038"/>
    <n v="25404"/>
    <n v="37634"/>
  </r>
  <r>
    <x v="16"/>
    <x v="1"/>
    <x v="0"/>
    <n v="64554"/>
    <n v="13442"/>
    <n v="51112"/>
  </r>
  <r>
    <x v="16"/>
    <x v="1"/>
    <x v="1"/>
    <n v="97260"/>
    <n v="19036"/>
    <n v="78224"/>
  </r>
  <r>
    <x v="16"/>
    <x v="1"/>
    <x v="2"/>
    <n v="108427"/>
    <n v="21792"/>
    <n v="86635"/>
  </r>
  <r>
    <x v="16"/>
    <x v="1"/>
    <x v="3"/>
    <n v="101836"/>
    <n v="18563"/>
    <n v="83273"/>
  </r>
  <r>
    <x v="16"/>
    <x v="1"/>
    <x v="4"/>
    <n v="89293"/>
    <n v="18095"/>
    <n v="71198"/>
  </r>
  <r>
    <x v="16"/>
    <x v="1"/>
    <x v="5"/>
    <n v="89012"/>
    <n v="17569"/>
    <n v="71443"/>
  </r>
  <r>
    <x v="16"/>
    <x v="1"/>
    <x v="6"/>
    <n v="86130"/>
    <n v="17910"/>
    <n v="68220"/>
  </r>
  <r>
    <x v="16"/>
    <x v="1"/>
    <x v="7"/>
    <n v="92960"/>
    <n v="24471"/>
    <n v="68489"/>
  </r>
  <r>
    <x v="16"/>
    <x v="1"/>
    <x v="8"/>
    <n v="83213"/>
    <n v="13980"/>
    <n v="69233"/>
  </r>
  <r>
    <x v="16"/>
    <x v="1"/>
    <x v="9"/>
    <n v="77294"/>
    <n v="14151"/>
    <n v="63143"/>
  </r>
  <r>
    <x v="16"/>
    <x v="1"/>
    <x v="10"/>
    <n v="80773"/>
    <n v="17248"/>
    <n v="63525"/>
  </r>
  <r>
    <x v="16"/>
    <x v="1"/>
    <x v="11"/>
    <n v="73259"/>
    <n v="28203"/>
    <n v="45056"/>
  </r>
  <r>
    <x v="16"/>
    <x v="2"/>
    <x v="0"/>
    <n v="21436"/>
    <n v="8214"/>
    <n v="13222"/>
  </r>
  <r>
    <x v="16"/>
    <x v="2"/>
    <x v="1"/>
    <n v="19755"/>
    <n v="7791"/>
    <n v="11964"/>
  </r>
  <r>
    <x v="16"/>
    <x v="2"/>
    <x v="2"/>
    <n v="23377"/>
    <n v="8836"/>
    <n v="14541"/>
  </r>
  <r>
    <x v="16"/>
    <x v="2"/>
    <x v="3"/>
    <n v="31322"/>
    <n v="8542"/>
    <n v="22780"/>
  </r>
  <r>
    <x v="16"/>
    <x v="2"/>
    <x v="4"/>
    <n v="28866"/>
    <n v="8581"/>
    <n v="20285"/>
  </r>
  <r>
    <x v="16"/>
    <x v="2"/>
    <x v="5"/>
    <n v="26593"/>
    <n v="8142"/>
    <n v="18451"/>
  </r>
  <r>
    <x v="16"/>
    <x v="2"/>
    <x v="6"/>
    <n v="26748"/>
    <n v="9149"/>
    <n v="17599"/>
  </r>
  <r>
    <x v="16"/>
    <x v="2"/>
    <x v="7"/>
    <n v="24445"/>
    <n v="11538"/>
    <n v="12907"/>
  </r>
  <r>
    <x v="16"/>
    <x v="2"/>
    <x v="8"/>
    <n v="33717"/>
    <n v="8523"/>
    <n v="25194"/>
  </r>
  <r>
    <x v="16"/>
    <x v="2"/>
    <x v="9"/>
    <n v="39563"/>
    <n v="8722"/>
    <n v="30841"/>
  </r>
  <r>
    <x v="16"/>
    <x v="2"/>
    <x v="10"/>
    <n v="39060"/>
    <n v="10645"/>
    <n v="28415"/>
  </r>
  <r>
    <x v="16"/>
    <x v="2"/>
    <x v="11"/>
    <n v="39734"/>
    <n v="18271"/>
    <n v="21463"/>
  </r>
  <r>
    <x v="16"/>
    <x v="3"/>
    <x v="0"/>
    <n v="40242"/>
    <n v="10105"/>
    <n v="30137"/>
  </r>
  <r>
    <x v="16"/>
    <x v="3"/>
    <x v="1"/>
    <n v="48023"/>
    <n v="13719"/>
    <n v="34304"/>
  </r>
  <r>
    <x v="16"/>
    <x v="3"/>
    <x v="2"/>
    <n v="75738"/>
    <n v="17917"/>
    <n v="57821"/>
  </r>
  <r>
    <x v="16"/>
    <x v="3"/>
    <x v="3"/>
    <n v="78602"/>
    <n v="16001"/>
    <n v="62601"/>
  </r>
  <r>
    <x v="16"/>
    <x v="3"/>
    <x v="4"/>
    <n v="77790"/>
    <n v="15393"/>
    <n v="62397"/>
  </r>
  <r>
    <x v="16"/>
    <x v="3"/>
    <x v="5"/>
    <n v="69189"/>
    <n v="12756"/>
    <n v="56433"/>
  </r>
  <r>
    <x v="16"/>
    <x v="3"/>
    <x v="6"/>
    <n v="62266"/>
    <n v="13538"/>
    <n v="48728"/>
  </r>
  <r>
    <x v="16"/>
    <x v="3"/>
    <x v="7"/>
    <n v="57887"/>
    <n v="13120"/>
    <n v="44767"/>
  </r>
  <r>
    <x v="16"/>
    <x v="3"/>
    <x v="8"/>
    <n v="62683"/>
    <n v="10678"/>
    <n v="52005"/>
  </r>
  <r>
    <x v="16"/>
    <x v="3"/>
    <x v="9"/>
    <n v="64145"/>
    <n v="11911"/>
    <n v="52234"/>
  </r>
  <r>
    <x v="16"/>
    <x v="3"/>
    <x v="10"/>
    <n v="59922"/>
    <n v="13429"/>
    <n v="46493"/>
  </r>
  <r>
    <x v="16"/>
    <x v="3"/>
    <x v="11"/>
    <n v="55430"/>
    <n v="27613"/>
    <n v="27817"/>
  </r>
  <r>
    <x v="16"/>
    <x v="4"/>
    <x v="0"/>
    <n v="2291"/>
    <n v="433"/>
    <n v="1858"/>
  </r>
  <r>
    <x v="16"/>
    <x v="4"/>
    <x v="1"/>
    <n v="1574"/>
    <n v="209"/>
    <n v="1365"/>
  </r>
  <r>
    <x v="16"/>
    <x v="4"/>
    <x v="2"/>
    <n v="1362"/>
    <n v="135"/>
    <n v="1227"/>
  </r>
  <r>
    <x v="16"/>
    <x v="4"/>
    <x v="3"/>
    <n v="1209"/>
    <n v="142"/>
    <n v="1067"/>
  </r>
  <r>
    <x v="16"/>
    <x v="4"/>
    <x v="4"/>
    <n v="1013"/>
    <n v="141"/>
    <n v="872"/>
  </r>
  <r>
    <x v="16"/>
    <x v="4"/>
    <x v="5"/>
    <n v="6209"/>
    <n v="544"/>
    <n v="5665"/>
  </r>
  <r>
    <x v="16"/>
    <x v="4"/>
    <x v="6"/>
    <n v="10419"/>
    <n v="2050"/>
    <n v="8369"/>
  </r>
  <r>
    <x v="16"/>
    <x v="4"/>
    <x v="7"/>
    <n v="8753"/>
    <n v="4362"/>
    <n v="4391"/>
  </r>
  <r>
    <x v="16"/>
    <x v="4"/>
    <x v="8"/>
    <n v="5031"/>
    <n v="439"/>
    <n v="4592"/>
  </r>
  <r>
    <x v="16"/>
    <x v="4"/>
    <x v="9"/>
    <n v="3997"/>
    <n v="563"/>
    <n v="3434"/>
  </r>
  <r>
    <x v="16"/>
    <x v="4"/>
    <x v="10"/>
    <n v="5158"/>
    <n v="875"/>
    <n v="4283"/>
  </r>
  <r>
    <x v="16"/>
    <x v="4"/>
    <x v="11"/>
    <n v="4040"/>
    <n v="958"/>
    <n v="308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0">
  <r>
    <x v="0"/>
    <x v="0"/>
    <x v="0"/>
    <n v="41626"/>
    <n v="14219"/>
  </r>
  <r>
    <x v="0"/>
    <x v="0"/>
    <x v="1"/>
    <n v="41170"/>
    <n v="15487"/>
  </r>
  <r>
    <x v="0"/>
    <x v="0"/>
    <x v="2"/>
    <n v="45581"/>
    <n v="20227"/>
  </r>
  <r>
    <x v="0"/>
    <x v="0"/>
    <x v="3"/>
    <n v="48441"/>
    <n v="16917"/>
  </r>
  <r>
    <x v="0"/>
    <x v="0"/>
    <x v="4"/>
    <n v="49411"/>
    <n v="18558"/>
  </r>
  <r>
    <x v="0"/>
    <x v="0"/>
    <x v="5"/>
    <n v="52773"/>
    <n v="18855"/>
  </r>
  <r>
    <x v="0"/>
    <x v="0"/>
    <x v="6"/>
    <n v="52058"/>
    <n v="16389"/>
  </r>
  <r>
    <x v="0"/>
    <x v="0"/>
    <x v="7"/>
    <n v="53236"/>
    <n v="19347"/>
  </r>
  <r>
    <x v="0"/>
    <x v="0"/>
    <x v="8"/>
    <n v="54530"/>
    <n v="16528"/>
  </r>
  <r>
    <x v="0"/>
    <x v="0"/>
    <x v="9"/>
    <n v="50726"/>
    <n v="15928"/>
  </r>
  <r>
    <x v="0"/>
    <x v="0"/>
    <x v="10"/>
    <n v="53140"/>
    <n v="16551"/>
  </r>
  <r>
    <x v="0"/>
    <x v="0"/>
    <x v="11"/>
    <n v="59999"/>
    <n v="29458"/>
  </r>
  <r>
    <x v="0"/>
    <x v="1"/>
    <x v="0"/>
    <n v="51585"/>
    <n v="13492"/>
  </r>
  <r>
    <x v="0"/>
    <x v="1"/>
    <x v="1"/>
    <n v="56682"/>
    <n v="17143"/>
  </r>
  <r>
    <x v="0"/>
    <x v="1"/>
    <x v="2"/>
    <n v="60841"/>
    <n v="25312"/>
  </r>
  <r>
    <x v="0"/>
    <x v="1"/>
    <x v="3"/>
    <n v="57732"/>
    <n v="22827"/>
  </r>
  <r>
    <x v="0"/>
    <x v="1"/>
    <x v="4"/>
    <n v="57827"/>
    <n v="21471"/>
  </r>
  <r>
    <x v="0"/>
    <x v="1"/>
    <x v="5"/>
    <n v="56275"/>
    <n v="17259"/>
  </r>
  <r>
    <x v="0"/>
    <x v="1"/>
    <x v="6"/>
    <n v="54881"/>
    <n v="17728"/>
  </r>
  <r>
    <x v="0"/>
    <x v="1"/>
    <x v="7"/>
    <n v="61286"/>
    <n v="21893"/>
  </r>
  <r>
    <x v="0"/>
    <x v="1"/>
    <x v="8"/>
    <n v="57797"/>
    <n v="15409"/>
  </r>
  <r>
    <x v="0"/>
    <x v="1"/>
    <x v="9"/>
    <n v="59379"/>
    <n v="18440"/>
  </r>
  <r>
    <x v="0"/>
    <x v="1"/>
    <x v="10"/>
    <n v="60634"/>
    <n v="23630"/>
  </r>
  <r>
    <x v="0"/>
    <x v="1"/>
    <x v="11"/>
    <n v="62082"/>
    <n v="38160"/>
  </r>
  <r>
    <x v="0"/>
    <x v="2"/>
    <x v="0"/>
    <n v="23592"/>
    <n v="6626"/>
  </r>
  <r>
    <x v="0"/>
    <x v="2"/>
    <x v="1"/>
    <n v="23776"/>
    <n v="6062"/>
  </r>
  <r>
    <x v="0"/>
    <x v="2"/>
    <x v="2"/>
    <n v="25962"/>
    <n v="7411"/>
  </r>
  <r>
    <x v="0"/>
    <x v="2"/>
    <x v="3"/>
    <n v="27031"/>
    <n v="7380"/>
  </r>
  <r>
    <x v="0"/>
    <x v="2"/>
    <x v="4"/>
    <n v="27271"/>
    <n v="7246"/>
  </r>
  <r>
    <x v="0"/>
    <x v="2"/>
    <x v="5"/>
    <n v="25556"/>
    <n v="7166"/>
  </r>
  <r>
    <x v="0"/>
    <x v="2"/>
    <x v="6"/>
    <n v="23987"/>
    <n v="7587"/>
  </r>
  <r>
    <x v="0"/>
    <x v="2"/>
    <x v="7"/>
    <n v="22862"/>
    <n v="7730"/>
  </r>
  <r>
    <x v="0"/>
    <x v="2"/>
    <x v="8"/>
    <n v="22012"/>
    <n v="6210"/>
  </r>
  <r>
    <x v="0"/>
    <x v="2"/>
    <x v="9"/>
    <n v="22726"/>
    <n v="7279"/>
  </r>
  <r>
    <x v="0"/>
    <x v="2"/>
    <x v="10"/>
    <n v="28909"/>
    <n v="8309"/>
  </r>
  <r>
    <x v="0"/>
    <x v="2"/>
    <x v="11"/>
    <n v="26973"/>
    <n v="16410"/>
  </r>
  <r>
    <x v="0"/>
    <x v="3"/>
    <x v="0"/>
    <n v="63003"/>
    <n v="22099"/>
  </r>
  <r>
    <x v="0"/>
    <x v="3"/>
    <x v="1"/>
    <n v="60988"/>
    <n v="16659"/>
  </r>
  <r>
    <x v="0"/>
    <x v="3"/>
    <x v="2"/>
    <n v="69833"/>
    <n v="24007"/>
  </r>
  <r>
    <x v="0"/>
    <x v="3"/>
    <x v="3"/>
    <n v="96125"/>
    <n v="25448"/>
  </r>
  <r>
    <x v="0"/>
    <x v="3"/>
    <x v="4"/>
    <n v="91248"/>
    <n v="21299"/>
  </r>
  <r>
    <x v="0"/>
    <x v="3"/>
    <x v="5"/>
    <n v="84859"/>
    <n v="17742"/>
  </r>
  <r>
    <x v="0"/>
    <x v="3"/>
    <x v="6"/>
    <n v="76981"/>
    <n v="18340"/>
  </r>
  <r>
    <x v="0"/>
    <x v="3"/>
    <x v="7"/>
    <n v="86753"/>
    <n v="18183"/>
  </r>
  <r>
    <x v="0"/>
    <x v="3"/>
    <x v="8"/>
    <n v="109638"/>
    <n v="19559"/>
  </r>
  <r>
    <x v="0"/>
    <x v="3"/>
    <x v="9"/>
    <n v="91816"/>
    <n v="29172"/>
  </r>
  <r>
    <x v="0"/>
    <x v="3"/>
    <x v="10"/>
    <n v="77682"/>
    <n v="40835"/>
  </r>
  <r>
    <x v="0"/>
    <x v="3"/>
    <x v="11"/>
    <n v="63072"/>
    <n v="77194"/>
  </r>
  <r>
    <x v="0"/>
    <x v="4"/>
    <x v="0"/>
    <n v="1604"/>
    <n v="181"/>
  </r>
  <r>
    <x v="0"/>
    <x v="4"/>
    <x v="1"/>
    <n v="1582"/>
    <n v="192"/>
  </r>
  <r>
    <x v="0"/>
    <x v="4"/>
    <x v="2"/>
    <n v="1753"/>
    <n v="217"/>
  </r>
  <r>
    <x v="0"/>
    <x v="4"/>
    <x v="3"/>
    <n v="1711"/>
    <n v="195"/>
  </r>
  <r>
    <x v="0"/>
    <x v="4"/>
    <x v="4"/>
    <n v="1567"/>
    <n v="286"/>
  </r>
  <r>
    <x v="0"/>
    <x v="4"/>
    <x v="5"/>
    <n v="4580"/>
    <n v="476"/>
  </r>
  <r>
    <x v="0"/>
    <x v="4"/>
    <x v="6"/>
    <n v="6239"/>
    <n v="1774"/>
  </r>
  <r>
    <x v="0"/>
    <x v="4"/>
    <x v="7"/>
    <n v="5165"/>
    <n v="3094"/>
  </r>
  <r>
    <x v="0"/>
    <x v="4"/>
    <x v="8"/>
    <n v="2609"/>
    <n v="392"/>
  </r>
  <r>
    <x v="0"/>
    <x v="4"/>
    <x v="9"/>
    <n v="3114"/>
    <n v="632"/>
  </r>
  <r>
    <x v="0"/>
    <x v="4"/>
    <x v="10"/>
    <n v="3201"/>
    <n v="758"/>
  </r>
  <r>
    <x v="0"/>
    <x v="4"/>
    <x v="11"/>
    <n v="2534"/>
    <n v="688"/>
  </r>
  <r>
    <x v="1"/>
    <x v="0"/>
    <x v="0"/>
    <n v="80302"/>
    <n v="45134"/>
  </r>
  <r>
    <x v="1"/>
    <x v="0"/>
    <x v="1"/>
    <n v="94549"/>
    <n v="48475"/>
  </r>
  <r>
    <x v="1"/>
    <x v="0"/>
    <x v="2"/>
    <n v="110452"/>
    <n v="60746"/>
  </r>
  <r>
    <x v="1"/>
    <x v="0"/>
    <x v="3"/>
    <n v="116246"/>
    <n v="52858"/>
  </r>
  <r>
    <x v="1"/>
    <x v="0"/>
    <x v="4"/>
    <n v="112882"/>
    <n v="56832"/>
  </r>
  <r>
    <x v="1"/>
    <x v="0"/>
    <x v="5"/>
    <n v="125674"/>
    <n v="58022"/>
  </r>
  <r>
    <x v="1"/>
    <x v="0"/>
    <x v="6"/>
    <n v="120046"/>
    <n v="54204"/>
  </r>
  <r>
    <x v="1"/>
    <x v="0"/>
    <x v="7"/>
    <n v="119590"/>
    <n v="65669"/>
  </r>
  <r>
    <x v="1"/>
    <x v="0"/>
    <x v="8"/>
    <n v="127275"/>
    <n v="51273"/>
  </r>
  <r>
    <x v="1"/>
    <x v="0"/>
    <x v="9"/>
    <n v="117849"/>
    <n v="49406"/>
  </r>
  <r>
    <x v="1"/>
    <x v="0"/>
    <x v="10"/>
    <n v="110949"/>
    <n v="51460"/>
  </r>
  <r>
    <x v="1"/>
    <x v="0"/>
    <x v="11"/>
    <n v="126722"/>
    <n v="82590"/>
  </r>
  <r>
    <x v="1"/>
    <x v="1"/>
    <x v="0"/>
    <n v="99397"/>
    <n v="38755"/>
  </r>
  <r>
    <x v="1"/>
    <x v="1"/>
    <x v="1"/>
    <n v="121695"/>
    <n v="41470"/>
  </r>
  <r>
    <x v="1"/>
    <x v="1"/>
    <x v="2"/>
    <n v="128630"/>
    <n v="56286"/>
  </r>
  <r>
    <x v="1"/>
    <x v="1"/>
    <x v="3"/>
    <n v="122660"/>
    <n v="47894"/>
  </r>
  <r>
    <x v="1"/>
    <x v="1"/>
    <x v="4"/>
    <n v="113167"/>
    <n v="46797"/>
  </r>
  <r>
    <x v="1"/>
    <x v="1"/>
    <x v="5"/>
    <n v="108777"/>
    <n v="40817"/>
  </r>
  <r>
    <x v="1"/>
    <x v="1"/>
    <x v="6"/>
    <n v="115060"/>
    <n v="53030"/>
  </r>
  <r>
    <x v="1"/>
    <x v="1"/>
    <x v="7"/>
    <n v="120231"/>
    <n v="71257"/>
  </r>
  <r>
    <x v="1"/>
    <x v="1"/>
    <x v="8"/>
    <n v="118451"/>
    <n v="41510"/>
  </r>
  <r>
    <x v="1"/>
    <x v="1"/>
    <x v="9"/>
    <n v="130143"/>
    <n v="42954"/>
  </r>
  <r>
    <x v="1"/>
    <x v="1"/>
    <x v="10"/>
    <n v="127675"/>
    <n v="49716"/>
  </r>
  <r>
    <x v="1"/>
    <x v="1"/>
    <x v="11"/>
    <n v="123779"/>
    <n v="82308"/>
  </r>
  <r>
    <x v="1"/>
    <x v="2"/>
    <x v="0"/>
    <n v="41860"/>
    <n v="14132"/>
  </r>
  <r>
    <x v="1"/>
    <x v="2"/>
    <x v="1"/>
    <n v="42662"/>
    <n v="13745"/>
  </r>
  <r>
    <x v="1"/>
    <x v="2"/>
    <x v="2"/>
    <n v="44131"/>
    <n v="15490"/>
  </r>
  <r>
    <x v="1"/>
    <x v="2"/>
    <x v="3"/>
    <n v="53637"/>
    <n v="17224"/>
  </r>
  <r>
    <x v="1"/>
    <x v="2"/>
    <x v="4"/>
    <n v="52136"/>
    <n v="16163"/>
  </r>
  <r>
    <x v="1"/>
    <x v="2"/>
    <x v="5"/>
    <n v="51926"/>
    <n v="14008"/>
  </r>
  <r>
    <x v="1"/>
    <x v="2"/>
    <x v="6"/>
    <n v="46512"/>
    <n v="15891"/>
  </r>
  <r>
    <x v="1"/>
    <x v="2"/>
    <x v="7"/>
    <n v="39245"/>
    <n v="18163"/>
  </r>
  <r>
    <x v="1"/>
    <x v="2"/>
    <x v="8"/>
    <n v="38929"/>
    <n v="12633"/>
  </r>
  <r>
    <x v="1"/>
    <x v="2"/>
    <x v="9"/>
    <n v="47811"/>
    <n v="17084"/>
  </r>
  <r>
    <x v="1"/>
    <x v="2"/>
    <x v="10"/>
    <n v="56160"/>
    <n v="20254"/>
  </r>
  <r>
    <x v="1"/>
    <x v="2"/>
    <x v="11"/>
    <n v="54085"/>
    <n v="32535"/>
  </r>
  <r>
    <x v="1"/>
    <x v="3"/>
    <x v="0"/>
    <n v="121172"/>
    <n v="49250"/>
  </r>
  <r>
    <x v="1"/>
    <x v="3"/>
    <x v="1"/>
    <n v="102013"/>
    <n v="39833"/>
  </r>
  <r>
    <x v="1"/>
    <x v="3"/>
    <x v="2"/>
    <n v="135065"/>
    <n v="60929"/>
  </r>
  <r>
    <x v="1"/>
    <x v="3"/>
    <x v="3"/>
    <n v="203157"/>
    <n v="60726"/>
  </r>
  <r>
    <x v="1"/>
    <x v="3"/>
    <x v="4"/>
    <n v="194594"/>
    <n v="58640"/>
  </r>
  <r>
    <x v="1"/>
    <x v="3"/>
    <x v="5"/>
    <n v="163928"/>
    <n v="49100"/>
  </r>
  <r>
    <x v="1"/>
    <x v="3"/>
    <x v="6"/>
    <n v="149202"/>
    <n v="55343"/>
  </r>
  <r>
    <x v="1"/>
    <x v="3"/>
    <x v="7"/>
    <n v="143179"/>
    <n v="60562"/>
  </r>
  <r>
    <x v="1"/>
    <x v="3"/>
    <x v="8"/>
    <n v="190145"/>
    <n v="55068"/>
  </r>
  <r>
    <x v="1"/>
    <x v="3"/>
    <x v="9"/>
    <n v="201349"/>
    <n v="68694"/>
  </r>
  <r>
    <x v="1"/>
    <x v="3"/>
    <x v="10"/>
    <n v="189817"/>
    <n v="85324"/>
  </r>
  <r>
    <x v="1"/>
    <x v="3"/>
    <x v="11"/>
    <n v="187546"/>
    <n v="162533"/>
  </r>
  <r>
    <x v="1"/>
    <x v="4"/>
    <x v="0"/>
    <n v="2903"/>
    <n v="453"/>
  </r>
  <r>
    <x v="1"/>
    <x v="4"/>
    <x v="1"/>
    <n v="2738"/>
    <n v="493"/>
  </r>
  <r>
    <x v="1"/>
    <x v="4"/>
    <x v="2"/>
    <n v="2685"/>
    <n v="443"/>
  </r>
  <r>
    <x v="1"/>
    <x v="4"/>
    <x v="3"/>
    <n v="2747"/>
    <n v="485"/>
  </r>
  <r>
    <x v="1"/>
    <x v="4"/>
    <x v="4"/>
    <n v="2451"/>
    <n v="782"/>
  </r>
  <r>
    <x v="1"/>
    <x v="4"/>
    <x v="5"/>
    <n v="13711"/>
    <n v="2157"/>
  </r>
  <r>
    <x v="1"/>
    <x v="4"/>
    <x v="6"/>
    <n v="18793"/>
    <n v="5876"/>
  </r>
  <r>
    <x v="1"/>
    <x v="4"/>
    <x v="7"/>
    <n v="15317"/>
    <n v="10988"/>
  </r>
  <r>
    <x v="1"/>
    <x v="4"/>
    <x v="8"/>
    <n v="5596"/>
    <n v="1554"/>
  </r>
  <r>
    <x v="1"/>
    <x v="4"/>
    <x v="9"/>
    <n v="8021"/>
    <n v="1920"/>
  </r>
  <r>
    <x v="1"/>
    <x v="4"/>
    <x v="10"/>
    <n v="7168"/>
    <n v="2513"/>
  </r>
  <r>
    <x v="1"/>
    <x v="4"/>
    <x v="11"/>
    <n v="4595"/>
    <n v="1582"/>
  </r>
  <r>
    <x v="2"/>
    <x v="0"/>
    <x v="0"/>
    <n v="62375"/>
    <n v="34912"/>
  </r>
  <r>
    <x v="2"/>
    <x v="0"/>
    <x v="1"/>
    <n v="66829"/>
    <n v="37188"/>
  </r>
  <r>
    <x v="2"/>
    <x v="0"/>
    <x v="2"/>
    <n v="74390"/>
    <n v="46235"/>
  </r>
  <r>
    <x v="2"/>
    <x v="0"/>
    <x v="3"/>
    <n v="81982"/>
    <n v="39201"/>
  </r>
  <r>
    <x v="2"/>
    <x v="0"/>
    <x v="4"/>
    <n v="80268"/>
    <n v="45363"/>
  </r>
  <r>
    <x v="2"/>
    <x v="0"/>
    <x v="5"/>
    <n v="88431"/>
    <n v="47665"/>
  </r>
  <r>
    <x v="2"/>
    <x v="0"/>
    <x v="6"/>
    <n v="86240"/>
    <n v="43457"/>
  </r>
  <r>
    <x v="2"/>
    <x v="0"/>
    <x v="7"/>
    <n v="79551"/>
    <n v="50173"/>
  </r>
  <r>
    <x v="2"/>
    <x v="0"/>
    <x v="8"/>
    <n v="92552"/>
    <n v="41817"/>
  </r>
  <r>
    <x v="2"/>
    <x v="0"/>
    <x v="9"/>
    <n v="85112"/>
    <n v="39776"/>
  </r>
  <r>
    <x v="2"/>
    <x v="0"/>
    <x v="10"/>
    <n v="79711"/>
    <n v="41979"/>
  </r>
  <r>
    <x v="2"/>
    <x v="0"/>
    <x v="11"/>
    <n v="95801"/>
    <n v="65048"/>
  </r>
  <r>
    <x v="2"/>
    <x v="1"/>
    <x v="0"/>
    <n v="66558"/>
    <n v="32147"/>
  </r>
  <r>
    <x v="2"/>
    <x v="1"/>
    <x v="1"/>
    <n v="69533"/>
    <n v="33886"/>
  </r>
  <r>
    <x v="2"/>
    <x v="1"/>
    <x v="2"/>
    <n v="74333"/>
    <n v="44278"/>
  </r>
  <r>
    <x v="2"/>
    <x v="1"/>
    <x v="3"/>
    <n v="81273"/>
    <n v="38751"/>
  </r>
  <r>
    <x v="2"/>
    <x v="1"/>
    <x v="4"/>
    <n v="74093"/>
    <n v="40158"/>
  </r>
  <r>
    <x v="2"/>
    <x v="1"/>
    <x v="5"/>
    <n v="68425"/>
    <n v="34014"/>
  </r>
  <r>
    <x v="2"/>
    <x v="1"/>
    <x v="6"/>
    <n v="66437"/>
    <n v="43453"/>
  </r>
  <r>
    <x v="2"/>
    <x v="1"/>
    <x v="7"/>
    <n v="74522"/>
    <n v="53315"/>
  </r>
  <r>
    <x v="2"/>
    <x v="1"/>
    <x v="8"/>
    <n v="67390"/>
    <n v="33512"/>
  </r>
  <r>
    <x v="2"/>
    <x v="1"/>
    <x v="9"/>
    <n v="73984"/>
    <n v="35060"/>
  </r>
  <r>
    <x v="2"/>
    <x v="1"/>
    <x v="10"/>
    <n v="73479"/>
    <n v="39208"/>
  </r>
  <r>
    <x v="2"/>
    <x v="1"/>
    <x v="11"/>
    <n v="75105"/>
    <n v="60940"/>
  </r>
  <r>
    <x v="2"/>
    <x v="2"/>
    <x v="0"/>
    <n v="28377"/>
    <n v="9718"/>
  </r>
  <r>
    <x v="2"/>
    <x v="2"/>
    <x v="1"/>
    <n v="25558"/>
    <n v="8585"/>
  </r>
  <r>
    <x v="2"/>
    <x v="2"/>
    <x v="2"/>
    <n v="28721"/>
    <n v="9742"/>
  </r>
  <r>
    <x v="2"/>
    <x v="2"/>
    <x v="3"/>
    <n v="33158"/>
    <n v="10502"/>
  </r>
  <r>
    <x v="2"/>
    <x v="2"/>
    <x v="4"/>
    <n v="34227"/>
    <n v="11476"/>
  </r>
  <r>
    <x v="2"/>
    <x v="2"/>
    <x v="5"/>
    <n v="33060"/>
    <n v="10901"/>
  </r>
  <r>
    <x v="2"/>
    <x v="2"/>
    <x v="6"/>
    <n v="29813"/>
    <n v="11660"/>
  </r>
  <r>
    <x v="2"/>
    <x v="2"/>
    <x v="7"/>
    <n v="27859"/>
    <n v="12675"/>
  </r>
  <r>
    <x v="2"/>
    <x v="2"/>
    <x v="8"/>
    <n v="25212"/>
    <n v="9207"/>
  </r>
  <r>
    <x v="2"/>
    <x v="2"/>
    <x v="9"/>
    <n v="33545"/>
    <n v="11796"/>
  </r>
  <r>
    <x v="2"/>
    <x v="2"/>
    <x v="10"/>
    <n v="34009"/>
    <n v="11315"/>
  </r>
  <r>
    <x v="2"/>
    <x v="2"/>
    <x v="11"/>
    <n v="29492"/>
    <n v="15444"/>
  </r>
  <r>
    <x v="2"/>
    <x v="3"/>
    <x v="0"/>
    <n v="82842"/>
    <n v="44011"/>
  </r>
  <r>
    <x v="2"/>
    <x v="3"/>
    <x v="1"/>
    <n v="65790"/>
    <n v="34073"/>
  </r>
  <r>
    <x v="2"/>
    <x v="3"/>
    <x v="2"/>
    <n v="87814"/>
    <n v="47932"/>
  </r>
  <r>
    <x v="2"/>
    <x v="3"/>
    <x v="3"/>
    <n v="136595"/>
    <n v="47127"/>
  </r>
  <r>
    <x v="2"/>
    <x v="3"/>
    <x v="4"/>
    <n v="135854"/>
    <n v="47219"/>
  </r>
  <r>
    <x v="2"/>
    <x v="3"/>
    <x v="5"/>
    <n v="112553"/>
    <n v="40970"/>
  </r>
  <r>
    <x v="2"/>
    <x v="3"/>
    <x v="6"/>
    <n v="105797"/>
    <n v="43712"/>
  </r>
  <r>
    <x v="2"/>
    <x v="3"/>
    <x v="7"/>
    <n v="99932"/>
    <n v="50257"/>
  </r>
  <r>
    <x v="2"/>
    <x v="3"/>
    <x v="8"/>
    <n v="117163"/>
    <n v="42539"/>
  </r>
  <r>
    <x v="2"/>
    <x v="3"/>
    <x v="9"/>
    <n v="104176"/>
    <n v="51852"/>
  </r>
  <r>
    <x v="2"/>
    <x v="3"/>
    <x v="10"/>
    <n v="79752"/>
    <n v="63989"/>
  </r>
  <r>
    <x v="2"/>
    <x v="3"/>
    <x v="11"/>
    <n v="77329"/>
    <n v="120003"/>
  </r>
  <r>
    <x v="2"/>
    <x v="4"/>
    <x v="0"/>
    <n v="2355"/>
    <n v="357"/>
  </r>
  <r>
    <x v="2"/>
    <x v="4"/>
    <x v="1"/>
    <n v="2431"/>
    <n v="332"/>
  </r>
  <r>
    <x v="2"/>
    <x v="4"/>
    <x v="2"/>
    <n v="2523"/>
    <n v="330"/>
  </r>
  <r>
    <x v="2"/>
    <x v="4"/>
    <x v="3"/>
    <n v="2496"/>
    <n v="318"/>
  </r>
  <r>
    <x v="2"/>
    <x v="4"/>
    <x v="4"/>
    <n v="2278"/>
    <n v="544"/>
  </r>
  <r>
    <x v="2"/>
    <x v="4"/>
    <x v="5"/>
    <n v="8495"/>
    <n v="1252"/>
  </r>
  <r>
    <x v="2"/>
    <x v="4"/>
    <x v="6"/>
    <n v="11970"/>
    <n v="3511"/>
  </r>
  <r>
    <x v="2"/>
    <x v="4"/>
    <x v="7"/>
    <n v="10487"/>
    <n v="7116"/>
  </r>
  <r>
    <x v="2"/>
    <x v="4"/>
    <x v="8"/>
    <n v="4095"/>
    <n v="1083"/>
  </r>
  <r>
    <x v="2"/>
    <x v="4"/>
    <x v="9"/>
    <n v="4640"/>
    <n v="929"/>
  </r>
  <r>
    <x v="2"/>
    <x v="4"/>
    <x v="10"/>
    <n v="4239"/>
    <n v="1292"/>
  </r>
  <r>
    <x v="2"/>
    <x v="4"/>
    <x v="11"/>
    <n v="2905"/>
    <n v="744"/>
  </r>
  <r>
    <x v="3"/>
    <x v="0"/>
    <x v="0"/>
    <n v="115926"/>
    <n v="66170"/>
  </r>
  <r>
    <x v="3"/>
    <x v="0"/>
    <x v="1"/>
    <n v="135139"/>
    <n v="76667"/>
  </r>
  <r>
    <x v="3"/>
    <x v="0"/>
    <x v="2"/>
    <n v="159933"/>
    <n v="94599"/>
  </r>
  <r>
    <x v="3"/>
    <x v="0"/>
    <x v="3"/>
    <n v="168176"/>
    <n v="78273"/>
  </r>
  <r>
    <x v="3"/>
    <x v="0"/>
    <x v="4"/>
    <n v="162455"/>
    <n v="87664"/>
  </r>
  <r>
    <x v="3"/>
    <x v="0"/>
    <x v="5"/>
    <n v="180557"/>
    <n v="92335"/>
  </r>
  <r>
    <x v="3"/>
    <x v="0"/>
    <x v="6"/>
    <n v="165067"/>
    <n v="81657"/>
  </r>
  <r>
    <x v="3"/>
    <x v="0"/>
    <x v="7"/>
    <n v="170984"/>
    <n v="98614"/>
  </r>
  <r>
    <x v="3"/>
    <x v="0"/>
    <x v="8"/>
    <n v="185511"/>
    <n v="80045"/>
  </r>
  <r>
    <x v="3"/>
    <x v="0"/>
    <x v="9"/>
    <n v="166328"/>
    <n v="76707"/>
  </r>
  <r>
    <x v="3"/>
    <x v="0"/>
    <x v="10"/>
    <n v="154897"/>
    <n v="80178"/>
  </r>
  <r>
    <x v="3"/>
    <x v="0"/>
    <x v="11"/>
    <n v="185701"/>
    <n v="124924"/>
  </r>
  <r>
    <x v="3"/>
    <x v="1"/>
    <x v="0"/>
    <n v="149964"/>
    <n v="65990"/>
  </r>
  <r>
    <x v="3"/>
    <x v="1"/>
    <x v="1"/>
    <n v="194841"/>
    <n v="77403"/>
  </r>
  <r>
    <x v="3"/>
    <x v="1"/>
    <x v="2"/>
    <n v="208698"/>
    <n v="100720"/>
  </r>
  <r>
    <x v="3"/>
    <x v="1"/>
    <x v="3"/>
    <n v="198542"/>
    <n v="82850"/>
  </r>
  <r>
    <x v="3"/>
    <x v="1"/>
    <x v="4"/>
    <n v="174716"/>
    <n v="84140"/>
  </r>
  <r>
    <x v="3"/>
    <x v="1"/>
    <x v="5"/>
    <n v="163930"/>
    <n v="73089"/>
  </r>
  <r>
    <x v="3"/>
    <x v="1"/>
    <x v="6"/>
    <n v="170596"/>
    <n v="89613"/>
  </r>
  <r>
    <x v="3"/>
    <x v="1"/>
    <x v="7"/>
    <n v="180795"/>
    <n v="114623"/>
  </r>
  <r>
    <x v="3"/>
    <x v="1"/>
    <x v="8"/>
    <n v="180179"/>
    <n v="72269"/>
  </r>
  <r>
    <x v="3"/>
    <x v="1"/>
    <x v="9"/>
    <n v="188838"/>
    <n v="77272"/>
  </r>
  <r>
    <x v="3"/>
    <x v="1"/>
    <x v="10"/>
    <n v="180960"/>
    <n v="85351"/>
  </r>
  <r>
    <x v="3"/>
    <x v="1"/>
    <x v="11"/>
    <n v="183129"/>
    <n v="130350"/>
  </r>
  <r>
    <x v="3"/>
    <x v="2"/>
    <x v="0"/>
    <n v="45425"/>
    <n v="22072"/>
  </r>
  <r>
    <x v="3"/>
    <x v="2"/>
    <x v="1"/>
    <n v="43722"/>
    <n v="19949"/>
  </r>
  <r>
    <x v="3"/>
    <x v="2"/>
    <x v="2"/>
    <n v="57125"/>
    <n v="24133"/>
  </r>
  <r>
    <x v="3"/>
    <x v="2"/>
    <x v="3"/>
    <n v="65389"/>
    <n v="25086"/>
  </r>
  <r>
    <x v="3"/>
    <x v="2"/>
    <x v="4"/>
    <n v="65859"/>
    <n v="26534"/>
  </r>
  <r>
    <x v="3"/>
    <x v="2"/>
    <x v="5"/>
    <n v="64088"/>
    <n v="26039"/>
  </r>
  <r>
    <x v="3"/>
    <x v="2"/>
    <x v="6"/>
    <n v="56595"/>
    <n v="26835"/>
  </r>
  <r>
    <x v="3"/>
    <x v="2"/>
    <x v="7"/>
    <n v="47395"/>
    <n v="28285"/>
  </r>
  <r>
    <x v="3"/>
    <x v="2"/>
    <x v="8"/>
    <n v="50236"/>
    <n v="19829"/>
  </r>
  <r>
    <x v="3"/>
    <x v="2"/>
    <x v="9"/>
    <n v="62179"/>
    <n v="26333"/>
  </r>
  <r>
    <x v="3"/>
    <x v="2"/>
    <x v="10"/>
    <n v="69774"/>
    <n v="28965"/>
  </r>
  <r>
    <x v="3"/>
    <x v="2"/>
    <x v="11"/>
    <n v="70341"/>
    <n v="47475"/>
  </r>
  <r>
    <x v="3"/>
    <x v="3"/>
    <x v="0"/>
    <n v="128026"/>
    <n v="61150"/>
  </r>
  <r>
    <x v="3"/>
    <x v="3"/>
    <x v="1"/>
    <n v="107755"/>
    <n v="50456"/>
  </r>
  <r>
    <x v="3"/>
    <x v="3"/>
    <x v="2"/>
    <n v="157007"/>
    <n v="75056"/>
  </r>
  <r>
    <x v="3"/>
    <x v="3"/>
    <x v="3"/>
    <n v="242974"/>
    <n v="79128"/>
  </r>
  <r>
    <x v="3"/>
    <x v="3"/>
    <x v="4"/>
    <n v="223867"/>
    <n v="77079"/>
  </r>
  <r>
    <x v="3"/>
    <x v="3"/>
    <x v="5"/>
    <n v="184685"/>
    <n v="63660"/>
  </r>
  <r>
    <x v="3"/>
    <x v="3"/>
    <x v="6"/>
    <n v="165422"/>
    <n v="67282"/>
  </r>
  <r>
    <x v="3"/>
    <x v="3"/>
    <x v="7"/>
    <n v="157015"/>
    <n v="78621"/>
  </r>
  <r>
    <x v="3"/>
    <x v="3"/>
    <x v="8"/>
    <n v="226446"/>
    <n v="76938"/>
  </r>
  <r>
    <x v="3"/>
    <x v="3"/>
    <x v="9"/>
    <n v="224722"/>
    <n v="94329"/>
  </r>
  <r>
    <x v="3"/>
    <x v="3"/>
    <x v="10"/>
    <n v="216743"/>
    <n v="121548"/>
  </r>
  <r>
    <x v="3"/>
    <x v="3"/>
    <x v="11"/>
    <n v="231495"/>
    <n v="222087"/>
  </r>
  <r>
    <x v="3"/>
    <x v="4"/>
    <x v="0"/>
    <n v="5624"/>
    <n v="779"/>
  </r>
  <r>
    <x v="3"/>
    <x v="4"/>
    <x v="1"/>
    <n v="5693"/>
    <n v="663"/>
  </r>
  <r>
    <x v="3"/>
    <x v="4"/>
    <x v="2"/>
    <n v="5934"/>
    <n v="609"/>
  </r>
  <r>
    <x v="3"/>
    <x v="4"/>
    <x v="3"/>
    <n v="5780"/>
    <n v="753"/>
  </r>
  <r>
    <x v="3"/>
    <x v="4"/>
    <x v="4"/>
    <n v="5072"/>
    <n v="1067"/>
  </r>
  <r>
    <x v="3"/>
    <x v="4"/>
    <x v="5"/>
    <n v="19732"/>
    <n v="2926"/>
  </r>
  <r>
    <x v="3"/>
    <x v="4"/>
    <x v="6"/>
    <n v="25521"/>
    <n v="7499"/>
  </r>
  <r>
    <x v="3"/>
    <x v="4"/>
    <x v="7"/>
    <n v="20857"/>
    <n v="14153"/>
  </r>
  <r>
    <x v="3"/>
    <x v="4"/>
    <x v="8"/>
    <n v="8442"/>
    <n v="2413"/>
  </r>
  <r>
    <x v="3"/>
    <x v="4"/>
    <x v="9"/>
    <n v="11066"/>
    <n v="2552"/>
  </r>
  <r>
    <x v="3"/>
    <x v="4"/>
    <x v="10"/>
    <n v="10006"/>
    <n v="2659"/>
  </r>
  <r>
    <x v="3"/>
    <x v="4"/>
    <x v="11"/>
    <n v="7162"/>
    <n v="1850"/>
  </r>
  <r>
    <x v="4"/>
    <x v="0"/>
    <x v="0"/>
    <n v="91129"/>
    <n v="34515"/>
  </r>
  <r>
    <x v="4"/>
    <x v="0"/>
    <x v="1"/>
    <n v="108087"/>
    <n v="42088"/>
  </r>
  <r>
    <x v="4"/>
    <x v="0"/>
    <x v="2"/>
    <n v="126873"/>
    <n v="57945"/>
  </r>
  <r>
    <x v="4"/>
    <x v="0"/>
    <x v="3"/>
    <n v="126877"/>
    <n v="45073"/>
  </r>
  <r>
    <x v="4"/>
    <x v="0"/>
    <x v="4"/>
    <n v="120382"/>
    <n v="49381"/>
  </r>
  <r>
    <x v="4"/>
    <x v="0"/>
    <x v="5"/>
    <n v="126651"/>
    <n v="53824"/>
  </r>
  <r>
    <x v="4"/>
    <x v="0"/>
    <x v="6"/>
    <n v="119932"/>
    <n v="46569"/>
  </r>
  <r>
    <x v="4"/>
    <x v="0"/>
    <x v="7"/>
    <n v="120105"/>
    <n v="53783"/>
  </r>
  <r>
    <x v="4"/>
    <x v="0"/>
    <x v="8"/>
    <n v="135188"/>
    <n v="47704"/>
  </r>
  <r>
    <x v="4"/>
    <x v="0"/>
    <x v="9"/>
    <n v="121111"/>
    <n v="43767"/>
  </r>
  <r>
    <x v="4"/>
    <x v="0"/>
    <x v="10"/>
    <n v="113298"/>
    <n v="49567"/>
  </r>
  <r>
    <x v="4"/>
    <x v="0"/>
    <x v="11"/>
    <n v="134863"/>
    <n v="83149"/>
  </r>
  <r>
    <x v="4"/>
    <x v="1"/>
    <x v="0"/>
    <n v="116052"/>
    <n v="30752"/>
  </r>
  <r>
    <x v="4"/>
    <x v="1"/>
    <x v="1"/>
    <n v="152803"/>
    <n v="40027"/>
  </r>
  <r>
    <x v="4"/>
    <x v="1"/>
    <x v="2"/>
    <n v="166334"/>
    <n v="53445"/>
  </r>
  <r>
    <x v="4"/>
    <x v="1"/>
    <x v="3"/>
    <n v="149216"/>
    <n v="44925"/>
  </r>
  <r>
    <x v="4"/>
    <x v="1"/>
    <x v="4"/>
    <n v="132188"/>
    <n v="42938"/>
  </r>
  <r>
    <x v="4"/>
    <x v="1"/>
    <x v="5"/>
    <n v="119530"/>
    <n v="35322"/>
  </r>
  <r>
    <x v="4"/>
    <x v="1"/>
    <x v="6"/>
    <n v="123999"/>
    <n v="42301"/>
  </r>
  <r>
    <x v="4"/>
    <x v="1"/>
    <x v="7"/>
    <n v="121959"/>
    <n v="52057"/>
  </r>
  <r>
    <x v="4"/>
    <x v="1"/>
    <x v="8"/>
    <n v="126488"/>
    <n v="34311"/>
  </r>
  <r>
    <x v="4"/>
    <x v="1"/>
    <x v="9"/>
    <n v="127473"/>
    <n v="40372"/>
  </r>
  <r>
    <x v="4"/>
    <x v="1"/>
    <x v="10"/>
    <n v="128891"/>
    <n v="50534"/>
  </r>
  <r>
    <x v="4"/>
    <x v="1"/>
    <x v="11"/>
    <n v="129156"/>
    <n v="77142"/>
  </r>
  <r>
    <x v="4"/>
    <x v="2"/>
    <x v="0"/>
    <n v="37684"/>
    <n v="12156"/>
  </r>
  <r>
    <x v="4"/>
    <x v="2"/>
    <x v="1"/>
    <n v="38025"/>
    <n v="11320"/>
  </r>
  <r>
    <x v="4"/>
    <x v="2"/>
    <x v="2"/>
    <n v="41528"/>
    <n v="13559"/>
  </r>
  <r>
    <x v="4"/>
    <x v="2"/>
    <x v="3"/>
    <n v="48361"/>
    <n v="15115"/>
  </r>
  <r>
    <x v="4"/>
    <x v="2"/>
    <x v="4"/>
    <n v="47769"/>
    <n v="15244"/>
  </r>
  <r>
    <x v="4"/>
    <x v="2"/>
    <x v="5"/>
    <n v="44215"/>
    <n v="14463"/>
  </r>
  <r>
    <x v="4"/>
    <x v="2"/>
    <x v="6"/>
    <n v="39460"/>
    <n v="15399"/>
  </r>
  <r>
    <x v="4"/>
    <x v="2"/>
    <x v="7"/>
    <n v="36593"/>
    <n v="16339"/>
  </r>
  <r>
    <x v="4"/>
    <x v="2"/>
    <x v="8"/>
    <n v="34670"/>
    <n v="12401"/>
  </r>
  <r>
    <x v="4"/>
    <x v="2"/>
    <x v="9"/>
    <n v="44167"/>
    <n v="15139"/>
  </r>
  <r>
    <x v="4"/>
    <x v="2"/>
    <x v="10"/>
    <n v="52091"/>
    <n v="18772"/>
  </r>
  <r>
    <x v="4"/>
    <x v="2"/>
    <x v="11"/>
    <n v="47773"/>
    <n v="32325"/>
  </r>
  <r>
    <x v="4"/>
    <x v="3"/>
    <x v="0"/>
    <n v="94038"/>
    <n v="24777"/>
  </r>
  <r>
    <x v="4"/>
    <x v="3"/>
    <x v="1"/>
    <n v="89011"/>
    <n v="21631"/>
  </r>
  <r>
    <x v="4"/>
    <x v="3"/>
    <x v="2"/>
    <n v="113067"/>
    <n v="37312"/>
  </r>
  <r>
    <x v="4"/>
    <x v="3"/>
    <x v="3"/>
    <n v="151938"/>
    <n v="36355"/>
  </r>
  <r>
    <x v="4"/>
    <x v="3"/>
    <x v="4"/>
    <n v="137842"/>
    <n v="33678"/>
  </r>
  <r>
    <x v="4"/>
    <x v="3"/>
    <x v="5"/>
    <n v="119550"/>
    <n v="29005"/>
  </r>
  <r>
    <x v="4"/>
    <x v="3"/>
    <x v="6"/>
    <n v="110023"/>
    <n v="28744"/>
  </r>
  <r>
    <x v="4"/>
    <x v="3"/>
    <x v="7"/>
    <n v="109634"/>
    <n v="29234"/>
  </r>
  <r>
    <x v="4"/>
    <x v="3"/>
    <x v="8"/>
    <n v="143567"/>
    <n v="28337"/>
  </r>
  <r>
    <x v="4"/>
    <x v="3"/>
    <x v="9"/>
    <n v="150521"/>
    <n v="37965"/>
  </r>
  <r>
    <x v="4"/>
    <x v="3"/>
    <x v="10"/>
    <n v="148751"/>
    <n v="54256"/>
  </r>
  <r>
    <x v="4"/>
    <x v="3"/>
    <x v="11"/>
    <n v="141712"/>
    <n v="104289"/>
  </r>
  <r>
    <x v="4"/>
    <x v="4"/>
    <x v="0"/>
    <n v="3453"/>
    <n v="482"/>
  </r>
  <r>
    <x v="4"/>
    <x v="4"/>
    <x v="1"/>
    <n v="3683"/>
    <n v="517"/>
  </r>
  <r>
    <x v="4"/>
    <x v="4"/>
    <x v="2"/>
    <n v="3947"/>
    <n v="581"/>
  </r>
  <r>
    <x v="4"/>
    <x v="4"/>
    <x v="3"/>
    <n v="3811"/>
    <n v="519"/>
  </r>
  <r>
    <x v="4"/>
    <x v="4"/>
    <x v="4"/>
    <n v="3334"/>
    <n v="829"/>
  </r>
  <r>
    <x v="4"/>
    <x v="4"/>
    <x v="5"/>
    <n v="15284"/>
    <n v="2241"/>
  </r>
  <r>
    <x v="4"/>
    <x v="4"/>
    <x v="6"/>
    <n v="20971"/>
    <n v="7200"/>
  </r>
  <r>
    <x v="4"/>
    <x v="4"/>
    <x v="7"/>
    <n v="16111"/>
    <n v="11036"/>
  </r>
  <r>
    <x v="4"/>
    <x v="4"/>
    <x v="8"/>
    <n v="7482"/>
    <n v="1477"/>
  </r>
  <r>
    <x v="4"/>
    <x v="4"/>
    <x v="9"/>
    <n v="10168"/>
    <n v="2503"/>
  </r>
  <r>
    <x v="4"/>
    <x v="4"/>
    <x v="10"/>
    <n v="8703"/>
    <n v="2830"/>
  </r>
  <r>
    <x v="4"/>
    <x v="4"/>
    <x v="11"/>
    <n v="5738"/>
    <n v="1680"/>
  </r>
  <r>
    <x v="5"/>
    <x v="0"/>
    <x v="0"/>
    <n v="70918"/>
    <n v="26220"/>
  </r>
  <r>
    <x v="5"/>
    <x v="0"/>
    <x v="1"/>
    <n v="82121"/>
    <n v="30216"/>
  </r>
  <r>
    <x v="5"/>
    <x v="0"/>
    <x v="2"/>
    <n v="93781"/>
    <n v="38522"/>
  </r>
  <r>
    <x v="5"/>
    <x v="0"/>
    <x v="3"/>
    <n v="93499"/>
    <n v="31607"/>
  </r>
  <r>
    <x v="5"/>
    <x v="0"/>
    <x v="4"/>
    <n v="88235"/>
    <n v="36100"/>
  </r>
  <r>
    <x v="5"/>
    <x v="0"/>
    <x v="5"/>
    <n v="92418"/>
    <n v="36675"/>
  </r>
  <r>
    <x v="5"/>
    <x v="0"/>
    <x v="6"/>
    <n v="89258"/>
    <n v="32423"/>
  </r>
  <r>
    <x v="5"/>
    <x v="0"/>
    <x v="7"/>
    <n v="92251"/>
    <n v="38093"/>
  </r>
  <r>
    <x v="5"/>
    <x v="0"/>
    <x v="8"/>
    <n v="102037"/>
    <n v="32757"/>
  </r>
  <r>
    <x v="5"/>
    <x v="0"/>
    <x v="9"/>
    <n v="92545"/>
    <n v="31475"/>
  </r>
  <r>
    <x v="5"/>
    <x v="0"/>
    <x v="10"/>
    <n v="85734"/>
    <n v="37165"/>
  </r>
  <r>
    <x v="5"/>
    <x v="0"/>
    <x v="11"/>
    <n v="106940"/>
    <n v="61536"/>
  </r>
  <r>
    <x v="5"/>
    <x v="1"/>
    <x v="0"/>
    <n v="78284"/>
    <n v="17696"/>
  </r>
  <r>
    <x v="5"/>
    <x v="1"/>
    <x v="1"/>
    <n v="90053"/>
    <n v="23460"/>
  </r>
  <r>
    <x v="5"/>
    <x v="1"/>
    <x v="2"/>
    <n v="94588"/>
    <n v="29998"/>
  </r>
  <r>
    <x v="5"/>
    <x v="1"/>
    <x v="3"/>
    <n v="89651"/>
    <n v="26080"/>
  </r>
  <r>
    <x v="5"/>
    <x v="1"/>
    <x v="4"/>
    <n v="84023"/>
    <n v="26725"/>
  </r>
  <r>
    <x v="5"/>
    <x v="1"/>
    <x v="5"/>
    <n v="80775"/>
    <n v="21258"/>
  </r>
  <r>
    <x v="5"/>
    <x v="1"/>
    <x v="6"/>
    <n v="85895"/>
    <n v="25911"/>
  </r>
  <r>
    <x v="5"/>
    <x v="1"/>
    <x v="7"/>
    <n v="84458"/>
    <n v="33046"/>
  </r>
  <r>
    <x v="5"/>
    <x v="1"/>
    <x v="8"/>
    <n v="84207"/>
    <n v="21043"/>
  </r>
  <r>
    <x v="5"/>
    <x v="1"/>
    <x v="9"/>
    <n v="88255"/>
    <n v="24307"/>
  </r>
  <r>
    <x v="5"/>
    <x v="1"/>
    <x v="10"/>
    <n v="87488"/>
    <n v="31133"/>
  </r>
  <r>
    <x v="5"/>
    <x v="1"/>
    <x v="11"/>
    <n v="93478"/>
    <n v="52133"/>
  </r>
  <r>
    <x v="5"/>
    <x v="2"/>
    <x v="0"/>
    <n v="29642"/>
    <n v="9173"/>
  </r>
  <r>
    <x v="5"/>
    <x v="2"/>
    <x v="1"/>
    <n v="30572"/>
    <n v="8482"/>
  </r>
  <r>
    <x v="5"/>
    <x v="2"/>
    <x v="2"/>
    <n v="32504"/>
    <n v="10395"/>
  </r>
  <r>
    <x v="5"/>
    <x v="2"/>
    <x v="3"/>
    <n v="40240"/>
    <n v="12301"/>
  </r>
  <r>
    <x v="5"/>
    <x v="2"/>
    <x v="4"/>
    <n v="39483"/>
    <n v="13250"/>
  </r>
  <r>
    <x v="5"/>
    <x v="2"/>
    <x v="5"/>
    <n v="39228"/>
    <n v="12674"/>
  </r>
  <r>
    <x v="5"/>
    <x v="2"/>
    <x v="6"/>
    <n v="36989"/>
    <n v="13098"/>
  </r>
  <r>
    <x v="5"/>
    <x v="2"/>
    <x v="7"/>
    <n v="32877"/>
    <n v="13735"/>
  </r>
  <r>
    <x v="5"/>
    <x v="2"/>
    <x v="8"/>
    <n v="32210"/>
    <n v="9773"/>
  </r>
  <r>
    <x v="5"/>
    <x v="2"/>
    <x v="9"/>
    <n v="38493"/>
    <n v="11760"/>
  </r>
  <r>
    <x v="5"/>
    <x v="2"/>
    <x v="10"/>
    <n v="45234"/>
    <n v="13847"/>
  </r>
  <r>
    <x v="5"/>
    <x v="2"/>
    <x v="11"/>
    <n v="41502"/>
    <n v="24332"/>
  </r>
  <r>
    <x v="5"/>
    <x v="3"/>
    <x v="0"/>
    <n v="65720"/>
    <n v="18867"/>
  </r>
  <r>
    <x v="5"/>
    <x v="3"/>
    <x v="1"/>
    <n v="63476"/>
    <n v="15579"/>
  </r>
  <r>
    <x v="5"/>
    <x v="3"/>
    <x v="2"/>
    <n v="78629"/>
    <n v="25719"/>
  </r>
  <r>
    <x v="5"/>
    <x v="3"/>
    <x v="3"/>
    <n v="100976"/>
    <n v="25911"/>
  </r>
  <r>
    <x v="5"/>
    <x v="3"/>
    <x v="4"/>
    <n v="93932"/>
    <n v="26037"/>
  </r>
  <r>
    <x v="5"/>
    <x v="3"/>
    <x v="5"/>
    <n v="85136"/>
    <n v="22007"/>
  </r>
  <r>
    <x v="5"/>
    <x v="3"/>
    <x v="6"/>
    <n v="73480"/>
    <n v="21460"/>
  </r>
  <r>
    <x v="5"/>
    <x v="3"/>
    <x v="7"/>
    <n v="73912"/>
    <n v="20065"/>
  </r>
  <r>
    <x v="5"/>
    <x v="3"/>
    <x v="8"/>
    <n v="96801"/>
    <n v="18703"/>
  </r>
  <r>
    <x v="5"/>
    <x v="3"/>
    <x v="9"/>
    <n v="102848"/>
    <n v="25284"/>
  </r>
  <r>
    <x v="5"/>
    <x v="3"/>
    <x v="10"/>
    <n v="103447"/>
    <n v="34149"/>
  </r>
  <r>
    <x v="5"/>
    <x v="3"/>
    <x v="11"/>
    <n v="95162"/>
    <n v="72871"/>
  </r>
  <r>
    <x v="5"/>
    <x v="4"/>
    <x v="0"/>
    <n v="2543"/>
    <n v="347"/>
  </r>
  <r>
    <x v="5"/>
    <x v="4"/>
    <x v="1"/>
    <n v="2616"/>
    <n v="347"/>
  </r>
  <r>
    <x v="5"/>
    <x v="4"/>
    <x v="2"/>
    <n v="2723"/>
    <n v="356"/>
  </r>
  <r>
    <x v="5"/>
    <x v="4"/>
    <x v="3"/>
    <n v="2648"/>
    <n v="351"/>
  </r>
  <r>
    <x v="5"/>
    <x v="4"/>
    <x v="4"/>
    <n v="2307"/>
    <n v="516"/>
  </r>
  <r>
    <x v="5"/>
    <x v="4"/>
    <x v="5"/>
    <n v="10282"/>
    <n v="1451"/>
  </r>
  <r>
    <x v="5"/>
    <x v="4"/>
    <x v="6"/>
    <n v="14365"/>
    <n v="4609"/>
  </r>
  <r>
    <x v="5"/>
    <x v="4"/>
    <x v="7"/>
    <n v="11647"/>
    <n v="7375"/>
  </r>
  <r>
    <x v="5"/>
    <x v="4"/>
    <x v="8"/>
    <n v="5553"/>
    <n v="920"/>
  </r>
  <r>
    <x v="5"/>
    <x v="4"/>
    <x v="9"/>
    <n v="6630"/>
    <n v="1248"/>
  </r>
  <r>
    <x v="5"/>
    <x v="4"/>
    <x v="10"/>
    <n v="5885"/>
    <n v="1476"/>
  </r>
  <r>
    <x v="5"/>
    <x v="4"/>
    <x v="11"/>
    <n v="4677"/>
    <n v="947"/>
  </r>
  <r>
    <x v="6"/>
    <x v="0"/>
    <x v="0"/>
    <n v="67845"/>
    <n v="39803"/>
  </r>
  <r>
    <x v="6"/>
    <x v="0"/>
    <x v="1"/>
    <n v="95121"/>
    <n v="43529"/>
  </r>
  <r>
    <x v="6"/>
    <x v="0"/>
    <x v="2"/>
    <n v="107278"/>
    <n v="53275"/>
  </r>
  <r>
    <x v="6"/>
    <x v="0"/>
    <x v="3"/>
    <n v="107743"/>
    <n v="47170"/>
  </r>
  <r>
    <x v="6"/>
    <x v="0"/>
    <x v="4"/>
    <n v="102677"/>
    <n v="50224"/>
  </r>
  <r>
    <x v="6"/>
    <x v="0"/>
    <x v="5"/>
    <n v="113408"/>
    <n v="51322"/>
  </r>
  <r>
    <x v="6"/>
    <x v="0"/>
    <x v="6"/>
    <n v="107979"/>
    <n v="48737"/>
  </r>
  <r>
    <x v="6"/>
    <x v="0"/>
    <x v="7"/>
    <n v="106751"/>
    <n v="58701"/>
  </r>
  <r>
    <x v="6"/>
    <x v="0"/>
    <x v="8"/>
    <n v="113954"/>
    <n v="47690"/>
  </r>
  <r>
    <x v="6"/>
    <x v="0"/>
    <x v="9"/>
    <n v="105447"/>
    <n v="45761"/>
  </r>
  <r>
    <x v="6"/>
    <x v="0"/>
    <x v="10"/>
    <n v="100460"/>
    <n v="49280"/>
  </r>
  <r>
    <x v="6"/>
    <x v="0"/>
    <x v="11"/>
    <n v="114499"/>
    <n v="79698"/>
  </r>
  <r>
    <x v="6"/>
    <x v="1"/>
    <x v="0"/>
    <n v="85658"/>
    <n v="35789"/>
  </r>
  <r>
    <x v="6"/>
    <x v="1"/>
    <x v="1"/>
    <n v="111603"/>
    <n v="39741"/>
  </r>
  <r>
    <x v="6"/>
    <x v="1"/>
    <x v="2"/>
    <n v="124015"/>
    <n v="50480"/>
  </r>
  <r>
    <x v="6"/>
    <x v="1"/>
    <x v="3"/>
    <n v="121372"/>
    <n v="45983"/>
  </r>
  <r>
    <x v="6"/>
    <x v="1"/>
    <x v="4"/>
    <n v="111280"/>
    <n v="45890"/>
  </r>
  <r>
    <x v="6"/>
    <x v="1"/>
    <x v="5"/>
    <n v="108064"/>
    <n v="37618"/>
  </r>
  <r>
    <x v="6"/>
    <x v="1"/>
    <x v="6"/>
    <n v="113307"/>
    <n v="51556"/>
  </r>
  <r>
    <x v="6"/>
    <x v="1"/>
    <x v="7"/>
    <n v="114355"/>
    <n v="67142"/>
  </r>
  <r>
    <x v="6"/>
    <x v="1"/>
    <x v="8"/>
    <n v="110885"/>
    <n v="41368"/>
  </r>
  <r>
    <x v="6"/>
    <x v="1"/>
    <x v="9"/>
    <n v="116354"/>
    <n v="41605"/>
  </r>
  <r>
    <x v="6"/>
    <x v="1"/>
    <x v="10"/>
    <n v="115651"/>
    <n v="46607"/>
  </r>
  <r>
    <x v="6"/>
    <x v="1"/>
    <x v="11"/>
    <n v="117651"/>
    <n v="81057"/>
  </r>
  <r>
    <x v="6"/>
    <x v="2"/>
    <x v="0"/>
    <n v="31101"/>
    <n v="16058"/>
  </r>
  <r>
    <x v="6"/>
    <x v="2"/>
    <x v="1"/>
    <n v="31646"/>
    <n v="13347"/>
  </r>
  <r>
    <x v="6"/>
    <x v="2"/>
    <x v="2"/>
    <n v="38516"/>
    <n v="14612"/>
  </r>
  <r>
    <x v="6"/>
    <x v="2"/>
    <x v="3"/>
    <n v="47104"/>
    <n v="15898"/>
  </r>
  <r>
    <x v="6"/>
    <x v="2"/>
    <x v="4"/>
    <n v="45347"/>
    <n v="15274"/>
  </r>
  <r>
    <x v="6"/>
    <x v="2"/>
    <x v="5"/>
    <n v="41079"/>
    <n v="14087"/>
  </r>
  <r>
    <x v="6"/>
    <x v="2"/>
    <x v="6"/>
    <n v="41220"/>
    <n v="15087"/>
  </r>
  <r>
    <x v="6"/>
    <x v="2"/>
    <x v="7"/>
    <n v="36006"/>
    <n v="18475"/>
  </r>
  <r>
    <x v="6"/>
    <x v="2"/>
    <x v="8"/>
    <n v="35325"/>
    <n v="12826"/>
  </r>
  <r>
    <x v="6"/>
    <x v="2"/>
    <x v="9"/>
    <n v="45700"/>
    <n v="16373"/>
  </r>
  <r>
    <x v="6"/>
    <x v="2"/>
    <x v="10"/>
    <n v="52622"/>
    <n v="20016"/>
  </r>
  <r>
    <x v="6"/>
    <x v="2"/>
    <x v="11"/>
    <n v="52271"/>
    <n v="34532"/>
  </r>
  <r>
    <x v="6"/>
    <x v="3"/>
    <x v="0"/>
    <n v="76443"/>
    <n v="42889"/>
  </r>
  <r>
    <x v="6"/>
    <x v="3"/>
    <x v="1"/>
    <n v="74688"/>
    <n v="36948"/>
  </r>
  <r>
    <x v="6"/>
    <x v="3"/>
    <x v="2"/>
    <n v="106349"/>
    <n v="52110"/>
  </r>
  <r>
    <x v="6"/>
    <x v="3"/>
    <x v="3"/>
    <n v="166924"/>
    <n v="55552"/>
  </r>
  <r>
    <x v="6"/>
    <x v="3"/>
    <x v="4"/>
    <n v="155876"/>
    <n v="54647"/>
  </r>
  <r>
    <x v="6"/>
    <x v="3"/>
    <x v="5"/>
    <n v="132620"/>
    <n v="46011"/>
  </r>
  <r>
    <x v="6"/>
    <x v="3"/>
    <x v="6"/>
    <n v="125371"/>
    <n v="52310"/>
  </r>
  <r>
    <x v="6"/>
    <x v="3"/>
    <x v="7"/>
    <n v="112731"/>
    <n v="60961"/>
  </r>
  <r>
    <x v="6"/>
    <x v="3"/>
    <x v="8"/>
    <n v="160180"/>
    <n v="53652"/>
  </r>
  <r>
    <x v="6"/>
    <x v="3"/>
    <x v="9"/>
    <n v="170801"/>
    <n v="67831"/>
  </r>
  <r>
    <x v="6"/>
    <x v="3"/>
    <x v="10"/>
    <n v="165737"/>
    <n v="81010"/>
  </r>
  <r>
    <x v="6"/>
    <x v="3"/>
    <x v="11"/>
    <n v="170250"/>
    <n v="171143"/>
  </r>
  <r>
    <x v="6"/>
    <x v="4"/>
    <x v="0"/>
    <n v="1992"/>
    <n v="462"/>
  </r>
  <r>
    <x v="6"/>
    <x v="4"/>
    <x v="1"/>
    <n v="1935"/>
    <n v="396"/>
  </r>
  <r>
    <x v="6"/>
    <x v="4"/>
    <x v="2"/>
    <n v="2182"/>
    <n v="420"/>
  </r>
  <r>
    <x v="6"/>
    <x v="4"/>
    <x v="3"/>
    <n v="2078"/>
    <n v="360"/>
  </r>
  <r>
    <x v="6"/>
    <x v="4"/>
    <x v="4"/>
    <n v="1772"/>
    <n v="529"/>
  </r>
  <r>
    <x v="6"/>
    <x v="4"/>
    <x v="5"/>
    <n v="11137"/>
    <n v="1757"/>
  </r>
  <r>
    <x v="6"/>
    <x v="4"/>
    <x v="6"/>
    <n v="16125"/>
    <n v="4327"/>
  </r>
  <r>
    <x v="6"/>
    <x v="4"/>
    <x v="7"/>
    <n v="13746"/>
    <n v="10253"/>
  </r>
  <r>
    <x v="6"/>
    <x v="4"/>
    <x v="8"/>
    <n v="4378"/>
    <n v="1443"/>
  </r>
  <r>
    <x v="6"/>
    <x v="4"/>
    <x v="9"/>
    <n v="4894"/>
    <n v="1525"/>
  </r>
  <r>
    <x v="6"/>
    <x v="4"/>
    <x v="10"/>
    <n v="4157"/>
    <n v="1669"/>
  </r>
  <r>
    <x v="6"/>
    <x v="4"/>
    <x v="11"/>
    <n v="2843"/>
    <n v="1139"/>
  </r>
  <r>
    <x v="7"/>
    <x v="0"/>
    <x v="0"/>
    <n v="128205"/>
    <n v="72243"/>
  </r>
  <r>
    <x v="7"/>
    <x v="0"/>
    <x v="1"/>
    <n v="146722"/>
    <n v="80418"/>
  </r>
  <r>
    <x v="7"/>
    <x v="0"/>
    <x v="2"/>
    <n v="181517"/>
    <n v="101905"/>
  </r>
  <r>
    <x v="7"/>
    <x v="0"/>
    <x v="3"/>
    <n v="190317"/>
    <n v="83963"/>
  </r>
  <r>
    <x v="7"/>
    <x v="0"/>
    <x v="4"/>
    <n v="184176"/>
    <n v="93856"/>
  </r>
  <r>
    <x v="7"/>
    <x v="0"/>
    <x v="5"/>
    <n v="196499"/>
    <n v="98924"/>
  </r>
  <r>
    <x v="7"/>
    <x v="0"/>
    <x v="6"/>
    <n v="179047"/>
    <n v="89104"/>
  </r>
  <r>
    <x v="7"/>
    <x v="0"/>
    <x v="7"/>
    <n v="181391"/>
    <n v="108438"/>
  </r>
  <r>
    <x v="7"/>
    <x v="0"/>
    <x v="8"/>
    <n v="200626"/>
    <n v="89874"/>
  </r>
  <r>
    <x v="7"/>
    <x v="0"/>
    <x v="9"/>
    <n v="183049"/>
    <n v="82690"/>
  </r>
  <r>
    <x v="7"/>
    <x v="0"/>
    <x v="10"/>
    <n v="168647"/>
    <n v="88726"/>
  </r>
  <r>
    <x v="7"/>
    <x v="0"/>
    <x v="11"/>
    <n v="199151"/>
    <n v="136647"/>
  </r>
  <r>
    <x v="7"/>
    <x v="1"/>
    <x v="0"/>
    <n v="149027"/>
    <n v="68160"/>
  </r>
  <r>
    <x v="7"/>
    <x v="1"/>
    <x v="1"/>
    <n v="191378"/>
    <n v="77003"/>
  </r>
  <r>
    <x v="7"/>
    <x v="1"/>
    <x v="2"/>
    <n v="220145"/>
    <n v="101323"/>
  </r>
  <r>
    <x v="7"/>
    <x v="1"/>
    <x v="3"/>
    <n v="208056"/>
    <n v="84562"/>
  </r>
  <r>
    <x v="7"/>
    <x v="1"/>
    <x v="4"/>
    <n v="182118"/>
    <n v="85256"/>
  </r>
  <r>
    <x v="7"/>
    <x v="1"/>
    <x v="5"/>
    <n v="169269"/>
    <n v="72894"/>
  </r>
  <r>
    <x v="7"/>
    <x v="1"/>
    <x v="6"/>
    <n v="178216"/>
    <n v="92578"/>
  </r>
  <r>
    <x v="7"/>
    <x v="1"/>
    <x v="7"/>
    <n v="194310"/>
    <n v="120681"/>
  </r>
  <r>
    <x v="7"/>
    <x v="1"/>
    <x v="8"/>
    <n v="192604"/>
    <n v="75498"/>
  </r>
  <r>
    <x v="7"/>
    <x v="1"/>
    <x v="9"/>
    <n v="209919"/>
    <n v="77674"/>
  </r>
  <r>
    <x v="7"/>
    <x v="1"/>
    <x v="10"/>
    <n v="198136"/>
    <n v="87040"/>
  </r>
  <r>
    <x v="7"/>
    <x v="1"/>
    <x v="11"/>
    <n v="193361"/>
    <n v="134998"/>
  </r>
  <r>
    <x v="7"/>
    <x v="2"/>
    <x v="0"/>
    <n v="52239"/>
    <n v="24478"/>
  </r>
  <r>
    <x v="7"/>
    <x v="2"/>
    <x v="1"/>
    <n v="57003"/>
    <n v="23437"/>
  </r>
  <r>
    <x v="7"/>
    <x v="2"/>
    <x v="2"/>
    <n v="71606"/>
    <n v="28421"/>
  </r>
  <r>
    <x v="7"/>
    <x v="2"/>
    <x v="3"/>
    <n v="76429"/>
    <n v="27916"/>
  </r>
  <r>
    <x v="7"/>
    <x v="2"/>
    <x v="4"/>
    <n v="75397"/>
    <n v="28619"/>
  </r>
  <r>
    <x v="7"/>
    <x v="2"/>
    <x v="5"/>
    <n v="70181"/>
    <n v="28141"/>
  </r>
  <r>
    <x v="7"/>
    <x v="2"/>
    <x v="6"/>
    <n v="64326"/>
    <n v="28126"/>
  </r>
  <r>
    <x v="7"/>
    <x v="2"/>
    <x v="7"/>
    <n v="54543"/>
    <n v="30749"/>
  </r>
  <r>
    <x v="7"/>
    <x v="2"/>
    <x v="8"/>
    <n v="53847"/>
    <n v="23930"/>
  </r>
  <r>
    <x v="7"/>
    <x v="2"/>
    <x v="9"/>
    <n v="77109"/>
    <n v="28519"/>
  </r>
  <r>
    <x v="7"/>
    <x v="2"/>
    <x v="10"/>
    <n v="90762"/>
    <n v="33598"/>
  </r>
  <r>
    <x v="7"/>
    <x v="2"/>
    <x v="11"/>
    <n v="82580"/>
    <n v="51407"/>
  </r>
  <r>
    <x v="7"/>
    <x v="3"/>
    <x v="0"/>
    <n v="162221"/>
    <n v="80120"/>
  </r>
  <r>
    <x v="7"/>
    <x v="3"/>
    <x v="1"/>
    <n v="145490"/>
    <n v="67970"/>
  </r>
  <r>
    <x v="7"/>
    <x v="3"/>
    <x v="2"/>
    <n v="205712"/>
    <n v="97131"/>
  </r>
  <r>
    <x v="7"/>
    <x v="3"/>
    <x v="3"/>
    <n v="314294"/>
    <n v="99842"/>
  </r>
  <r>
    <x v="7"/>
    <x v="3"/>
    <x v="4"/>
    <n v="292400"/>
    <n v="97124"/>
  </r>
  <r>
    <x v="7"/>
    <x v="3"/>
    <x v="5"/>
    <n v="245690"/>
    <n v="82546"/>
  </r>
  <r>
    <x v="7"/>
    <x v="3"/>
    <x v="6"/>
    <n v="218053"/>
    <n v="88513"/>
  </r>
  <r>
    <x v="7"/>
    <x v="3"/>
    <x v="7"/>
    <n v="211352"/>
    <n v="106937"/>
  </r>
  <r>
    <x v="7"/>
    <x v="3"/>
    <x v="8"/>
    <n v="292059"/>
    <n v="98704"/>
  </r>
  <r>
    <x v="7"/>
    <x v="3"/>
    <x v="9"/>
    <n v="298169"/>
    <n v="120545"/>
  </r>
  <r>
    <x v="7"/>
    <x v="3"/>
    <x v="10"/>
    <n v="284915"/>
    <n v="149088"/>
  </r>
  <r>
    <x v="7"/>
    <x v="3"/>
    <x v="11"/>
    <n v="297107"/>
    <n v="280473"/>
  </r>
  <r>
    <x v="7"/>
    <x v="4"/>
    <x v="0"/>
    <n v="6035"/>
    <n v="696"/>
  </r>
  <r>
    <x v="7"/>
    <x v="4"/>
    <x v="1"/>
    <n v="6447"/>
    <n v="803"/>
  </r>
  <r>
    <x v="7"/>
    <x v="4"/>
    <x v="2"/>
    <n v="6698"/>
    <n v="740"/>
  </r>
  <r>
    <x v="7"/>
    <x v="4"/>
    <x v="3"/>
    <n v="6525"/>
    <n v="761"/>
  </r>
  <r>
    <x v="7"/>
    <x v="4"/>
    <x v="4"/>
    <n v="5786"/>
    <n v="1020"/>
  </r>
  <r>
    <x v="7"/>
    <x v="4"/>
    <x v="5"/>
    <n v="23543"/>
    <n v="3077"/>
  </r>
  <r>
    <x v="7"/>
    <x v="4"/>
    <x v="6"/>
    <n v="28383"/>
    <n v="8070"/>
  </r>
  <r>
    <x v="7"/>
    <x v="4"/>
    <x v="7"/>
    <n v="24822"/>
    <n v="16848"/>
  </r>
  <r>
    <x v="7"/>
    <x v="4"/>
    <x v="8"/>
    <n v="9053"/>
    <n v="2972"/>
  </r>
  <r>
    <x v="7"/>
    <x v="4"/>
    <x v="9"/>
    <n v="12261"/>
    <n v="3769"/>
  </r>
  <r>
    <x v="7"/>
    <x v="4"/>
    <x v="10"/>
    <n v="10839"/>
    <n v="3890"/>
  </r>
  <r>
    <x v="7"/>
    <x v="4"/>
    <x v="11"/>
    <n v="7161"/>
    <n v="2338"/>
  </r>
  <r>
    <x v="8"/>
    <x v="0"/>
    <x v="0"/>
    <n v="92374"/>
    <n v="31544"/>
  </r>
  <r>
    <x v="8"/>
    <x v="0"/>
    <x v="1"/>
    <n v="96934"/>
    <n v="35857"/>
  </r>
  <r>
    <x v="8"/>
    <x v="0"/>
    <x v="2"/>
    <n v="108479"/>
    <n v="49901"/>
  </r>
  <r>
    <x v="8"/>
    <x v="0"/>
    <x v="3"/>
    <n v="108165"/>
    <n v="38449"/>
  </r>
  <r>
    <x v="8"/>
    <x v="0"/>
    <x v="4"/>
    <n v="102490"/>
    <n v="44165"/>
  </r>
  <r>
    <x v="8"/>
    <x v="0"/>
    <x v="5"/>
    <n v="106324"/>
    <n v="46846"/>
  </r>
  <r>
    <x v="8"/>
    <x v="0"/>
    <x v="6"/>
    <n v="101121"/>
    <n v="38207"/>
  </r>
  <r>
    <x v="8"/>
    <x v="0"/>
    <x v="7"/>
    <n v="106292"/>
    <n v="45246"/>
  </r>
  <r>
    <x v="8"/>
    <x v="0"/>
    <x v="8"/>
    <n v="118391"/>
    <n v="39719"/>
  </r>
  <r>
    <x v="8"/>
    <x v="0"/>
    <x v="9"/>
    <n v="107415"/>
    <n v="37255"/>
  </r>
  <r>
    <x v="8"/>
    <x v="0"/>
    <x v="10"/>
    <n v="100594"/>
    <n v="37655"/>
  </r>
  <r>
    <x v="8"/>
    <x v="0"/>
    <x v="11"/>
    <n v="119029"/>
    <n v="56864"/>
  </r>
  <r>
    <x v="8"/>
    <x v="1"/>
    <x v="0"/>
    <n v="99891"/>
    <n v="26480"/>
  </r>
  <r>
    <x v="8"/>
    <x v="1"/>
    <x v="1"/>
    <n v="127405"/>
    <n v="36033"/>
  </r>
  <r>
    <x v="8"/>
    <x v="1"/>
    <x v="2"/>
    <n v="135473"/>
    <n v="50392"/>
  </r>
  <r>
    <x v="8"/>
    <x v="1"/>
    <x v="3"/>
    <n v="125304"/>
    <n v="39987"/>
  </r>
  <r>
    <x v="8"/>
    <x v="1"/>
    <x v="4"/>
    <n v="112993"/>
    <n v="39022"/>
  </r>
  <r>
    <x v="8"/>
    <x v="1"/>
    <x v="5"/>
    <n v="103302"/>
    <n v="31352"/>
  </r>
  <r>
    <x v="8"/>
    <x v="1"/>
    <x v="6"/>
    <n v="105898"/>
    <n v="35176"/>
  </r>
  <r>
    <x v="8"/>
    <x v="1"/>
    <x v="7"/>
    <n v="110939"/>
    <n v="47020"/>
  </r>
  <r>
    <x v="8"/>
    <x v="1"/>
    <x v="8"/>
    <n v="114676"/>
    <n v="31121"/>
  </r>
  <r>
    <x v="8"/>
    <x v="1"/>
    <x v="9"/>
    <n v="123571"/>
    <n v="37911"/>
  </r>
  <r>
    <x v="8"/>
    <x v="1"/>
    <x v="10"/>
    <n v="115478"/>
    <n v="45209"/>
  </r>
  <r>
    <x v="8"/>
    <x v="1"/>
    <x v="11"/>
    <n v="113646"/>
    <n v="67645"/>
  </r>
  <r>
    <x v="8"/>
    <x v="2"/>
    <x v="0"/>
    <n v="28695"/>
    <n v="10120"/>
  </r>
  <r>
    <x v="8"/>
    <x v="2"/>
    <x v="1"/>
    <n v="30234"/>
    <n v="9730"/>
  </r>
  <r>
    <x v="8"/>
    <x v="2"/>
    <x v="2"/>
    <n v="36487"/>
    <n v="12023"/>
  </r>
  <r>
    <x v="8"/>
    <x v="2"/>
    <x v="3"/>
    <n v="41497"/>
    <n v="13289"/>
  </r>
  <r>
    <x v="8"/>
    <x v="2"/>
    <x v="4"/>
    <n v="41267"/>
    <n v="14792"/>
  </r>
  <r>
    <x v="8"/>
    <x v="2"/>
    <x v="5"/>
    <n v="37349"/>
    <n v="12836"/>
  </r>
  <r>
    <x v="8"/>
    <x v="2"/>
    <x v="6"/>
    <n v="36266"/>
    <n v="14031"/>
  </r>
  <r>
    <x v="8"/>
    <x v="2"/>
    <x v="7"/>
    <n v="31752"/>
    <n v="13771"/>
  </r>
  <r>
    <x v="8"/>
    <x v="2"/>
    <x v="8"/>
    <n v="32754"/>
    <n v="10025"/>
  </r>
  <r>
    <x v="8"/>
    <x v="2"/>
    <x v="9"/>
    <n v="40723"/>
    <n v="12165"/>
  </r>
  <r>
    <x v="8"/>
    <x v="2"/>
    <x v="10"/>
    <n v="46788"/>
    <n v="15359"/>
  </r>
  <r>
    <x v="8"/>
    <x v="2"/>
    <x v="11"/>
    <n v="45344"/>
    <n v="25989"/>
  </r>
  <r>
    <x v="8"/>
    <x v="3"/>
    <x v="0"/>
    <n v="126990"/>
    <n v="37937"/>
  </r>
  <r>
    <x v="8"/>
    <x v="3"/>
    <x v="1"/>
    <n v="115698"/>
    <n v="29414"/>
  </r>
  <r>
    <x v="8"/>
    <x v="3"/>
    <x v="2"/>
    <n v="133470"/>
    <n v="44196"/>
  </r>
  <r>
    <x v="8"/>
    <x v="3"/>
    <x v="3"/>
    <n v="185700"/>
    <n v="39346"/>
  </r>
  <r>
    <x v="8"/>
    <x v="3"/>
    <x v="4"/>
    <n v="175169"/>
    <n v="36840"/>
  </r>
  <r>
    <x v="8"/>
    <x v="3"/>
    <x v="5"/>
    <n v="155623"/>
    <n v="29779"/>
  </r>
  <r>
    <x v="8"/>
    <x v="3"/>
    <x v="6"/>
    <n v="148810"/>
    <n v="31517"/>
  </r>
  <r>
    <x v="8"/>
    <x v="3"/>
    <x v="7"/>
    <n v="154525"/>
    <n v="36997"/>
  </r>
  <r>
    <x v="8"/>
    <x v="3"/>
    <x v="8"/>
    <n v="197571"/>
    <n v="41225"/>
  </r>
  <r>
    <x v="8"/>
    <x v="3"/>
    <x v="9"/>
    <n v="207396"/>
    <n v="55204"/>
  </r>
  <r>
    <x v="8"/>
    <x v="3"/>
    <x v="10"/>
    <n v="195355"/>
    <n v="70929"/>
  </r>
  <r>
    <x v="8"/>
    <x v="3"/>
    <x v="11"/>
    <n v="171642"/>
    <n v="126445"/>
  </r>
  <r>
    <x v="8"/>
    <x v="4"/>
    <x v="0"/>
    <n v="3400"/>
    <n v="445"/>
  </r>
  <r>
    <x v="8"/>
    <x v="4"/>
    <x v="1"/>
    <n v="3902"/>
    <n v="400"/>
  </r>
  <r>
    <x v="8"/>
    <x v="4"/>
    <x v="2"/>
    <n v="4254"/>
    <n v="375"/>
  </r>
  <r>
    <x v="8"/>
    <x v="4"/>
    <x v="3"/>
    <n v="4389"/>
    <n v="403"/>
  </r>
  <r>
    <x v="8"/>
    <x v="4"/>
    <x v="4"/>
    <n v="3907"/>
    <n v="679"/>
  </r>
  <r>
    <x v="8"/>
    <x v="4"/>
    <x v="5"/>
    <n v="12851"/>
    <n v="2249"/>
  </r>
  <r>
    <x v="8"/>
    <x v="4"/>
    <x v="6"/>
    <n v="16021"/>
    <n v="5329"/>
  </r>
  <r>
    <x v="8"/>
    <x v="4"/>
    <x v="7"/>
    <n v="13015"/>
    <n v="7814"/>
  </r>
  <r>
    <x v="8"/>
    <x v="4"/>
    <x v="8"/>
    <n v="6954"/>
    <n v="902"/>
  </r>
  <r>
    <x v="8"/>
    <x v="4"/>
    <x v="9"/>
    <n v="8945"/>
    <n v="1720"/>
  </r>
  <r>
    <x v="8"/>
    <x v="4"/>
    <x v="10"/>
    <n v="8051"/>
    <n v="1837"/>
  </r>
  <r>
    <x v="8"/>
    <x v="4"/>
    <x v="11"/>
    <n v="6270"/>
    <n v="1084"/>
  </r>
  <r>
    <x v="9"/>
    <x v="0"/>
    <x v="0"/>
    <n v="61160"/>
    <n v="27772"/>
  </r>
  <r>
    <x v="9"/>
    <x v="0"/>
    <x v="1"/>
    <n v="69140"/>
    <n v="30506"/>
  </r>
  <r>
    <x v="9"/>
    <x v="0"/>
    <x v="2"/>
    <n v="80174"/>
    <n v="36536"/>
  </r>
  <r>
    <x v="9"/>
    <x v="0"/>
    <x v="3"/>
    <n v="82213"/>
    <n v="31800"/>
  </r>
  <r>
    <x v="9"/>
    <x v="0"/>
    <x v="4"/>
    <n v="81634"/>
    <n v="34788"/>
  </r>
  <r>
    <x v="9"/>
    <x v="0"/>
    <x v="5"/>
    <n v="86856"/>
    <n v="36054"/>
  </r>
  <r>
    <x v="9"/>
    <x v="0"/>
    <x v="6"/>
    <n v="82929"/>
    <n v="33106"/>
  </r>
  <r>
    <x v="9"/>
    <x v="0"/>
    <x v="7"/>
    <n v="83113"/>
    <n v="39014"/>
  </r>
  <r>
    <x v="9"/>
    <x v="0"/>
    <x v="8"/>
    <n v="90515"/>
    <n v="31860"/>
  </r>
  <r>
    <x v="9"/>
    <x v="0"/>
    <x v="9"/>
    <n v="85215"/>
    <n v="30488"/>
  </r>
  <r>
    <x v="9"/>
    <x v="0"/>
    <x v="10"/>
    <n v="79683"/>
    <n v="31878"/>
  </r>
  <r>
    <x v="9"/>
    <x v="0"/>
    <x v="11"/>
    <n v="89664"/>
    <n v="52310"/>
  </r>
  <r>
    <x v="9"/>
    <x v="1"/>
    <x v="0"/>
    <n v="86175"/>
    <n v="26091"/>
  </r>
  <r>
    <x v="9"/>
    <x v="1"/>
    <x v="1"/>
    <n v="96459"/>
    <n v="27477"/>
  </r>
  <r>
    <x v="9"/>
    <x v="1"/>
    <x v="2"/>
    <n v="103389"/>
    <n v="35599"/>
  </r>
  <r>
    <x v="9"/>
    <x v="1"/>
    <x v="3"/>
    <n v="99915"/>
    <n v="31165"/>
  </r>
  <r>
    <x v="9"/>
    <x v="1"/>
    <x v="4"/>
    <n v="90728"/>
    <n v="31787"/>
  </r>
  <r>
    <x v="9"/>
    <x v="1"/>
    <x v="5"/>
    <n v="88178"/>
    <n v="27427"/>
  </r>
  <r>
    <x v="9"/>
    <x v="1"/>
    <x v="6"/>
    <n v="91641"/>
    <n v="34628"/>
  </r>
  <r>
    <x v="9"/>
    <x v="1"/>
    <x v="7"/>
    <n v="92457"/>
    <n v="45495"/>
  </r>
  <r>
    <x v="9"/>
    <x v="1"/>
    <x v="8"/>
    <n v="93335"/>
    <n v="28723"/>
  </r>
  <r>
    <x v="9"/>
    <x v="1"/>
    <x v="9"/>
    <n v="102160"/>
    <n v="28785"/>
  </r>
  <r>
    <x v="9"/>
    <x v="1"/>
    <x v="10"/>
    <n v="99100"/>
    <n v="32637"/>
  </r>
  <r>
    <x v="9"/>
    <x v="1"/>
    <x v="11"/>
    <n v="98114"/>
    <n v="55661"/>
  </r>
  <r>
    <x v="9"/>
    <x v="2"/>
    <x v="0"/>
    <n v="28185"/>
    <n v="13779"/>
  </r>
  <r>
    <x v="9"/>
    <x v="2"/>
    <x v="1"/>
    <n v="26157"/>
    <n v="11197"/>
  </r>
  <r>
    <x v="9"/>
    <x v="2"/>
    <x v="2"/>
    <n v="34173"/>
    <n v="13499"/>
  </r>
  <r>
    <x v="9"/>
    <x v="2"/>
    <x v="3"/>
    <n v="41992"/>
    <n v="13177"/>
  </r>
  <r>
    <x v="9"/>
    <x v="2"/>
    <x v="4"/>
    <n v="42259"/>
    <n v="12814"/>
  </r>
  <r>
    <x v="9"/>
    <x v="2"/>
    <x v="5"/>
    <n v="40056"/>
    <n v="12506"/>
  </r>
  <r>
    <x v="9"/>
    <x v="2"/>
    <x v="6"/>
    <n v="36814"/>
    <n v="13084"/>
  </r>
  <r>
    <x v="9"/>
    <x v="2"/>
    <x v="7"/>
    <n v="31564"/>
    <n v="14038"/>
  </r>
  <r>
    <x v="9"/>
    <x v="2"/>
    <x v="8"/>
    <n v="29924"/>
    <n v="10601"/>
  </r>
  <r>
    <x v="9"/>
    <x v="2"/>
    <x v="9"/>
    <n v="36778"/>
    <n v="13765"/>
  </r>
  <r>
    <x v="9"/>
    <x v="2"/>
    <x v="10"/>
    <n v="42396"/>
    <n v="15750"/>
  </r>
  <r>
    <x v="9"/>
    <x v="2"/>
    <x v="11"/>
    <n v="42024"/>
    <n v="26983"/>
  </r>
  <r>
    <x v="9"/>
    <x v="3"/>
    <x v="0"/>
    <n v="82693"/>
    <n v="34780"/>
  </r>
  <r>
    <x v="9"/>
    <x v="3"/>
    <x v="1"/>
    <n v="72760"/>
    <n v="28787"/>
  </r>
  <r>
    <x v="9"/>
    <x v="3"/>
    <x v="2"/>
    <n v="98928"/>
    <n v="40244"/>
  </r>
  <r>
    <x v="9"/>
    <x v="3"/>
    <x v="3"/>
    <n v="143666"/>
    <n v="41093"/>
  </r>
  <r>
    <x v="9"/>
    <x v="3"/>
    <x v="4"/>
    <n v="134497"/>
    <n v="40731"/>
  </r>
  <r>
    <x v="9"/>
    <x v="3"/>
    <x v="5"/>
    <n v="117694"/>
    <n v="35577"/>
  </r>
  <r>
    <x v="9"/>
    <x v="3"/>
    <x v="6"/>
    <n v="110248"/>
    <n v="38044"/>
  </r>
  <r>
    <x v="9"/>
    <x v="3"/>
    <x v="7"/>
    <n v="107357"/>
    <n v="41711"/>
  </r>
  <r>
    <x v="9"/>
    <x v="3"/>
    <x v="8"/>
    <n v="140907"/>
    <n v="38779"/>
  </r>
  <r>
    <x v="9"/>
    <x v="3"/>
    <x v="9"/>
    <n v="148380"/>
    <n v="47010"/>
  </r>
  <r>
    <x v="9"/>
    <x v="3"/>
    <x v="10"/>
    <n v="142601"/>
    <n v="59063"/>
  </r>
  <r>
    <x v="9"/>
    <x v="3"/>
    <x v="11"/>
    <n v="143491"/>
    <n v="126601"/>
  </r>
  <r>
    <x v="9"/>
    <x v="4"/>
    <x v="0"/>
    <n v="2243"/>
    <n v="339"/>
  </r>
  <r>
    <x v="9"/>
    <x v="4"/>
    <x v="1"/>
    <n v="2186"/>
    <n v="286"/>
  </r>
  <r>
    <x v="9"/>
    <x v="4"/>
    <x v="2"/>
    <n v="2316"/>
    <n v="263"/>
  </r>
  <r>
    <x v="9"/>
    <x v="4"/>
    <x v="3"/>
    <n v="2269"/>
    <n v="264"/>
  </r>
  <r>
    <x v="9"/>
    <x v="4"/>
    <x v="4"/>
    <n v="2080"/>
    <n v="664"/>
  </r>
  <r>
    <x v="9"/>
    <x v="4"/>
    <x v="5"/>
    <n v="9047"/>
    <n v="1432"/>
  </r>
  <r>
    <x v="9"/>
    <x v="4"/>
    <x v="6"/>
    <n v="13225"/>
    <n v="3476"/>
  </r>
  <r>
    <x v="9"/>
    <x v="4"/>
    <x v="7"/>
    <n v="11366"/>
    <n v="8254"/>
  </r>
  <r>
    <x v="9"/>
    <x v="4"/>
    <x v="8"/>
    <n v="3972"/>
    <n v="1317"/>
  </r>
  <r>
    <x v="9"/>
    <x v="4"/>
    <x v="9"/>
    <n v="4261"/>
    <n v="942"/>
  </r>
  <r>
    <x v="9"/>
    <x v="4"/>
    <x v="10"/>
    <n v="3915"/>
    <n v="1221"/>
  </r>
  <r>
    <x v="9"/>
    <x v="4"/>
    <x v="11"/>
    <n v="2773"/>
    <n v="880"/>
  </r>
  <r>
    <x v="10"/>
    <x v="0"/>
    <x v="0"/>
    <n v="47562"/>
    <n v="20132"/>
  </r>
  <r>
    <x v="10"/>
    <x v="0"/>
    <x v="1"/>
    <n v="53423"/>
    <n v="20270"/>
  </r>
  <r>
    <x v="10"/>
    <x v="0"/>
    <x v="2"/>
    <n v="61531"/>
    <n v="25048"/>
  </r>
  <r>
    <x v="10"/>
    <x v="0"/>
    <x v="3"/>
    <n v="59611"/>
    <n v="21068"/>
  </r>
  <r>
    <x v="10"/>
    <x v="0"/>
    <x v="4"/>
    <n v="59043"/>
    <n v="23735"/>
  </r>
  <r>
    <x v="10"/>
    <x v="0"/>
    <x v="5"/>
    <n v="64319"/>
    <n v="24767"/>
  </r>
  <r>
    <x v="10"/>
    <x v="0"/>
    <x v="6"/>
    <n v="60576"/>
    <n v="23928"/>
  </r>
  <r>
    <x v="10"/>
    <x v="0"/>
    <x v="7"/>
    <n v="62311"/>
    <n v="27666"/>
  </r>
  <r>
    <x v="10"/>
    <x v="0"/>
    <x v="8"/>
    <n v="69306"/>
    <n v="22996"/>
  </r>
  <r>
    <x v="10"/>
    <x v="0"/>
    <x v="9"/>
    <n v="77371"/>
    <n v="22294"/>
  </r>
  <r>
    <x v="10"/>
    <x v="0"/>
    <x v="10"/>
    <n v="74806"/>
    <n v="23498"/>
  </r>
  <r>
    <x v="10"/>
    <x v="0"/>
    <x v="11"/>
    <n v="76520"/>
    <n v="39605"/>
  </r>
  <r>
    <x v="10"/>
    <x v="1"/>
    <x v="0"/>
    <n v="68946"/>
    <n v="19101"/>
  </r>
  <r>
    <x v="10"/>
    <x v="1"/>
    <x v="1"/>
    <n v="74797"/>
    <n v="19073"/>
  </r>
  <r>
    <x v="10"/>
    <x v="1"/>
    <x v="2"/>
    <n v="79667"/>
    <n v="25492"/>
  </r>
  <r>
    <x v="10"/>
    <x v="1"/>
    <x v="3"/>
    <n v="78414"/>
    <n v="21306"/>
  </r>
  <r>
    <x v="10"/>
    <x v="1"/>
    <x v="4"/>
    <n v="74175"/>
    <n v="22313"/>
  </r>
  <r>
    <x v="10"/>
    <x v="1"/>
    <x v="5"/>
    <n v="71447"/>
    <n v="19226"/>
  </r>
  <r>
    <x v="10"/>
    <x v="1"/>
    <x v="6"/>
    <n v="73966"/>
    <n v="24258"/>
  </r>
  <r>
    <x v="10"/>
    <x v="1"/>
    <x v="7"/>
    <n v="77512"/>
    <n v="30832"/>
  </r>
  <r>
    <x v="10"/>
    <x v="1"/>
    <x v="8"/>
    <n v="73196"/>
    <n v="19511"/>
  </r>
  <r>
    <x v="10"/>
    <x v="1"/>
    <x v="9"/>
    <n v="84853"/>
    <n v="19868"/>
  </r>
  <r>
    <x v="10"/>
    <x v="1"/>
    <x v="10"/>
    <n v="85038"/>
    <n v="23102"/>
  </r>
  <r>
    <x v="10"/>
    <x v="1"/>
    <x v="11"/>
    <n v="77251"/>
    <n v="39737"/>
  </r>
  <r>
    <x v="10"/>
    <x v="2"/>
    <x v="0"/>
    <n v="22777"/>
    <n v="9884"/>
  </r>
  <r>
    <x v="10"/>
    <x v="2"/>
    <x v="1"/>
    <n v="23078"/>
    <n v="8100"/>
  </r>
  <r>
    <x v="10"/>
    <x v="2"/>
    <x v="2"/>
    <n v="30406"/>
    <n v="10571"/>
  </r>
  <r>
    <x v="10"/>
    <x v="2"/>
    <x v="3"/>
    <n v="34753"/>
    <n v="11199"/>
  </r>
  <r>
    <x v="10"/>
    <x v="2"/>
    <x v="4"/>
    <n v="35433"/>
    <n v="12626"/>
  </r>
  <r>
    <x v="10"/>
    <x v="2"/>
    <x v="5"/>
    <n v="32718"/>
    <n v="11416"/>
  </r>
  <r>
    <x v="10"/>
    <x v="2"/>
    <x v="6"/>
    <n v="30840"/>
    <n v="12190"/>
  </r>
  <r>
    <x v="10"/>
    <x v="2"/>
    <x v="7"/>
    <n v="29509"/>
    <n v="13502"/>
  </r>
  <r>
    <x v="10"/>
    <x v="2"/>
    <x v="8"/>
    <n v="28448"/>
    <n v="9977"/>
  </r>
  <r>
    <x v="10"/>
    <x v="2"/>
    <x v="9"/>
    <n v="35918"/>
    <n v="12061"/>
  </r>
  <r>
    <x v="10"/>
    <x v="2"/>
    <x v="10"/>
    <n v="43074"/>
    <n v="13005"/>
  </r>
  <r>
    <x v="10"/>
    <x v="2"/>
    <x v="11"/>
    <n v="38092"/>
    <n v="23926"/>
  </r>
  <r>
    <x v="10"/>
    <x v="3"/>
    <x v="0"/>
    <n v="65098"/>
    <n v="33438"/>
  </r>
  <r>
    <x v="10"/>
    <x v="3"/>
    <x v="1"/>
    <n v="63289"/>
    <n v="27071"/>
  </r>
  <r>
    <x v="10"/>
    <x v="3"/>
    <x v="2"/>
    <n v="85881"/>
    <n v="38892"/>
  </r>
  <r>
    <x v="10"/>
    <x v="3"/>
    <x v="3"/>
    <n v="123921"/>
    <n v="39095"/>
  </r>
  <r>
    <x v="10"/>
    <x v="3"/>
    <x v="4"/>
    <n v="120126"/>
    <n v="39205"/>
  </r>
  <r>
    <x v="10"/>
    <x v="3"/>
    <x v="5"/>
    <n v="106593"/>
    <n v="35135"/>
  </r>
  <r>
    <x v="10"/>
    <x v="3"/>
    <x v="6"/>
    <n v="99992"/>
    <n v="36666"/>
  </r>
  <r>
    <x v="10"/>
    <x v="3"/>
    <x v="7"/>
    <n v="95817"/>
    <n v="41078"/>
  </r>
  <r>
    <x v="10"/>
    <x v="3"/>
    <x v="8"/>
    <n v="126026"/>
    <n v="38816"/>
  </r>
  <r>
    <x v="10"/>
    <x v="3"/>
    <x v="9"/>
    <n v="136495"/>
    <n v="43839"/>
  </r>
  <r>
    <x v="10"/>
    <x v="3"/>
    <x v="10"/>
    <n v="136694"/>
    <n v="56460"/>
  </r>
  <r>
    <x v="10"/>
    <x v="3"/>
    <x v="11"/>
    <n v="131639"/>
    <n v="124338"/>
  </r>
  <r>
    <x v="10"/>
    <x v="4"/>
    <x v="0"/>
    <n v="1872"/>
    <n v="323"/>
  </r>
  <r>
    <x v="10"/>
    <x v="4"/>
    <x v="1"/>
    <n v="1609"/>
    <n v="260"/>
  </r>
  <r>
    <x v="10"/>
    <x v="4"/>
    <x v="2"/>
    <n v="1693"/>
    <n v="268"/>
  </r>
  <r>
    <x v="10"/>
    <x v="4"/>
    <x v="3"/>
    <n v="1639"/>
    <n v="215"/>
  </r>
  <r>
    <x v="10"/>
    <x v="4"/>
    <x v="4"/>
    <n v="1512"/>
    <n v="404"/>
  </r>
  <r>
    <x v="10"/>
    <x v="4"/>
    <x v="5"/>
    <n v="6354"/>
    <n v="1108"/>
  </r>
  <r>
    <x v="10"/>
    <x v="4"/>
    <x v="6"/>
    <n v="7951"/>
    <n v="2559"/>
  </r>
  <r>
    <x v="10"/>
    <x v="4"/>
    <x v="7"/>
    <n v="7199"/>
    <n v="5268"/>
  </r>
  <r>
    <x v="10"/>
    <x v="4"/>
    <x v="8"/>
    <n v="2561"/>
    <n v="774"/>
  </r>
  <r>
    <x v="10"/>
    <x v="4"/>
    <x v="9"/>
    <n v="3499"/>
    <n v="874"/>
  </r>
  <r>
    <x v="10"/>
    <x v="4"/>
    <x v="10"/>
    <n v="3269"/>
    <n v="1253"/>
  </r>
  <r>
    <x v="10"/>
    <x v="4"/>
    <x v="11"/>
    <n v="2062"/>
    <n v="740"/>
  </r>
  <r>
    <x v="11"/>
    <x v="0"/>
    <x v="0"/>
    <n v="131629"/>
    <n v="77080"/>
  </r>
  <r>
    <x v="11"/>
    <x v="0"/>
    <x v="1"/>
    <n v="141880"/>
    <n v="85098"/>
  </r>
  <r>
    <x v="11"/>
    <x v="0"/>
    <x v="2"/>
    <n v="176055"/>
    <n v="106417"/>
  </r>
  <r>
    <x v="11"/>
    <x v="0"/>
    <x v="3"/>
    <n v="177554"/>
    <n v="90454"/>
  </r>
  <r>
    <x v="11"/>
    <x v="0"/>
    <x v="4"/>
    <n v="162317"/>
    <n v="99406"/>
  </r>
  <r>
    <x v="11"/>
    <x v="0"/>
    <x v="5"/>
    <n v="182486"/>
    <n v="112400"/>
  </r>
  <r>
    <x v="11"/>
    <x v="0"/>
    <x v="6"/>
    <n v="174552"/>
    <n v="98874"/>
  </r>
  <r>
    <x v="11"/>
    <x v="0"/>
    <x v="7"/>
    <n v="179681"/>
    <n v="118512"/>
  </r>
  <r>
    <x v="11"/>
    <x v="0"/>
    <x v="8"/>
    <n v="194874"/>
    <n v="98261"/>
  </r>
  <r>
    <x v="11"/>
    <x v="0"/>
    <x v="9"/>
    <n v="167615"/>
    <n v="93623"/>
  </r>
  <r>
    <x v="11"/>
    <x v="0"/>
    <x v="10"/>
    <n v="155766"/>
    <n v="97654"/>
  </r>
  <r>
    <x v="11"/>
    <x v="0"/>
    <x v="11"/>
    <n v="191314"/>
    <n v="143553"/>
  </r>
  <r>
    <x v="11"/>
    <x v="1"/>
    <x v="0"/>
    <n v="133338"/>
    <n v="75112"/>
  </r>
  <r>
    <x v="11"/>
    <x v="1"/>
    <x v="1"/>
    <n v="161306"/>
    <n v="80543"/>
  </r>
  <r>
    <x v="11"/>
    <x v="1"/>
    <x v="2"/>
    <n v="177507"/>
    <n v="102581"/>
  </r>
  <r>
    <x v="11"/>
    <x v="1"/>
    <x v="3"/>
    <n v="172671"/>
    <n v="90568"/>
  </r>
  <r>
    <x v="11"/>
    <x v="1"/>
    <x v="4"/>
    <n v="153845"/>
    <n v="94094"/>
  </r>
  <r>
    <x v="11"/>
    <x v="1"/>
    <x v="5"/>
    <n v="154523"/>
    <n v="86340"/>
  </r>
  <r>
    <x v="11"/>
    <x v="1"/>
    <x v="6"/>
    <n v="148789"/>
    <n v="103253"/>
  </r>
  <r>
    <x v="11"/>
    <x v="1"/>
    <x v="7"/>
    <n v="177779"/>
    <n v="121834"/>
  </r>
  <r>
    <x v="11"/>
    <x v="1"/>
    <x v="8"/>
    <n v="168115"/>
    <n v="80871"/>
  </r>
  <r>
    <x v="11"/>
    <x v="1"/>
    <x v="9"/>
    <n v="174305"/>
    <n v="88447"/>
  </r>
  <r>
    <x v="11"/>
    <x v="1"/>
    <x v="10"/>
    <n v="162370"/>
    <n v="97907"/>
  </r>
  <r>
    <x v="11"/>
    <x v="1"/>
    <x v="11"/>
    <n v="179426"/>
    <n v="150765"/>
  </r>
  <r>
    <x v="11"/>
    <x v="2"/>
    <x v="0"/>
    <n v="47491"/>
    <n v="21692"/>
  </r>
  <r>
    <x v="11"/>
    <x v="2"/>
    <x v="1"/>
    <n v="46716"/>
    <n v="21755"/>
  </r>
  <r>
    <x v="11"/>
    <x v="2"/>
    <x v="2"/>
    <n v="56981"/>
    <n v="26024"/>
  </r>
  <r>
    <x v="11"/>
    <x v="2"/>
    <x v="3"/>
    <n v="67013"/>
    <n v="25447"/>
  </r>
  <r>
    <x v="11"/>
    <x v="2"/>
    <x v="4"/>
    <n v="63103"/>
    <n v="26447"/>
  </r>
  <r>
    <x v="11"/>
    <x v="2"/>
    <x v="5"/>
    <n v="59848"/>
    <n v="25101"/>
  </r>
  <r>
    <x v="11"/>
    <x v="2"/>
    <x v="6"/>
    <n v="60321"/>
    <n v="26686"/>
  </r>
  <r>
    <x v="11"/>
    <x v="2"/>
    <x v="7"/>
    <n v="51423"/>
    <n v="27424"/>
  </r>
  <r>
    <x v="11"/>
    <x v="2"/>
    <x v="8"/>
    <n v="48668"/>
    <n v="19500"/>
  </r>
  <r>
    <x v="11"/>
    <x v="2"/>
    <x v="9"/>
    <n v="62506"/>
    <n v="25437"/>
  </r>
  <r>
    <x v="11"/>
    <x v="2"/>
    <x v="10"/>
    <n v="75367"/>
    <n v="27902"/>
  </r>
  <r>
    <x v="11"/>
    <x v="2"/>
    <x v="11"/>
    <n v="73233"/>
    <n v="43767"/>
  </r>
  <r>
    <x v="11"/>
    <x v="3"/>
    <x v="0"/>
    <n v="183377"/>
    <n v="81961"/>
  </r>
  <r>
    <x v="11"/>
    <x v="3"/>
    <x v="1"/>
    <n v="145412"/>
    <n v="65795"/>
  </r>
  <r>
    <x v="11"/>
    <x v="3"/>
    <x v="2"/>
    <n v="198669"/>
    <n v="92502"/>
  </r>
  <r>
    <x v="11"/>
    <x v="3"/>
    <x v="3"/>
    <n v="283203"/>
    <n v="94335"/>
  </r>
  <r>
    <x v="11"/>
    <x v="3"/>
    <x v="4"/>
    <n v="261562"/>
    <n v="88845"/>
  </r>
  <r>
    <x v="11"/>
    <x v="3"/>
    <x v="5"/>
    <n v="225259"/>
    <n v="81667"/>
  </r>
  <r>
    <x v="11"/>
    <x v="3"/>
    <x v="6"/>
    <n v="204929"/>
    <n v="88477"/>
  </r>
  <r>
    <x v="11"/>
    <x v="3"/>
    <x v="7"/>
    <n v="196360"/>
    <n v="101953"/>
  </r>
  <r>
    <x v="11"/>
    <x v="3"/>
    <x v="8"/>
    <n v="291460"/>
    <n v="108253"/>
  </r>
  <r>
    <x v="11"/>
    <x v="3"/>
    <x v="9"/>
    <n v="286186"/>
    <n v="128660"/>
  </r>
  <r>
    <x v="11"/>
    <x v="3"/>
    <x v="10"/>
    <n v="272970"/>
    <n v="151533"/>
  </r>
  <r>
    <x v="11"/>
    <x v="3"/>
    <x v="11"/>
    <n v="287058"/>
    <n v="254268"/>
  </r>
  <r>
    <x v="11"/>
    <x v="4"/>
    <x v="0"/>
    <n v="4197"/>
    <n v="789"/>
  </r>
  <r>
    <x v="11"/>
    <x v="4"/>
    <x v="1"/>
    <n v="4458"/>
    <n v="738"/>
  </r>
  <r>
    <x v="11"/>
    <x v="4"/>
    <x v="2"/>
    <n v="4863"/>
    <n v="669"/>
  </r>
  <r>
    <x v="11"/>
    <x v="4"/>
    <x v="3"/>
    <n v="4856"/>
    <n v="860"/>
  </r>
  <r>
    <x v="11"/>
    <x v="4"/>
    <x v="4"/>
    <n v="4154"/>
    <n v="1167"/>
  </r>
  <r>
    <x v="11"/>
    <x v="4"/>
    <x v="5"/>
    <n v="21997"/>
    <n v="4031"/>
  </r>
  <r>
    <x v="11"/>
    <x v="4"/>
    <x v="6"/>
    <n v="30024"/>
    <n v="9692"/>
  </r>
  <r>
    <x v="11"/>
    <x v="4"/>
    <x v="7"/>
    <n v="24638"/>
    <n v="18437"/>
  </r>
  <r>
    <x v="11"/>
    <x v="4"/>
    <x v="8"/>
    <n v="8380"/>
    <n v="2697"/>
  </r>
  <r>
    <x v="11"/>
    <x v="4"/>
    <x v="9"/>
    <n v="11133"/>
    <n v="2803"/>
  </r>
  <r>
    <x v="11"/>
    <x v="4"/>
    <x v="10"/>
    <n v="10026"/>
    <n v="3296"/>
  </r>
  <r>
    <x v="11"/>
    <x v="4"/>
    <x v="11"/>
    <n v="6852"/>
    <n v="2588"/>
  </r>
  <r>
    <x v="12"/>
    <x v="0"/>
    <x v="0"/>
    <n v="56567"/>
    <n v="21416"/>
  </r>
  <r>
    <x v="12"/>
    <x v="0"/>
    <x v="1"/>
    <n v="56524"/>
    <n v="22542"/>
  </r>
  <r>
    <x v="12"/>
    <x v="0"/>
    <x v="2"/>
    <n v="65092"/>
    <n v="28214"/>
  </r>
  <r>
    <x v="12"/>
    <x v="0"/>
    <x v="3"/>
    <n v="69430"/>
    <n v="23994"/>
  </r>
  <r>
    <x v="12"/>
    <x v="0"/>
    <x v="4"/>
    <n v="67915"/>
    <n v="26970"/>
  </r>
  <r>
    <x v="12"/>
    <x v="0"/>
    <x v="5"/>
    <n v="72923"/>
    <n v="28185"/>
  </r>
  <r>
    <x v="12"/>
    <x v="0"/>
    <x v="6"/>
    <n v="70291"/>
    <n v="24223"/>
  </r>
  <r>
    <x v="12"/>
    <x v="0"/>
    <x v="7"/>
    <n v="71902"/>
    <n v="29482"/>
  </r>
  <r>
    <x v="12"/>
    <x v="0"/>
    <x v="8"/>
    <n v="79072"/>
    <n v="23467"/>
  </r>
  <r>
    <x v="12"/>
    <x v="0"/>
    <x v="9"/>
    <n v="72208"/>
    <n v="22468"/>
  </r>
  <r>
    <x v="12"/>
    <x v="0"/>
    <x v="10"/>
    <n v="70135"/>
    <n v="22811"/>
  </r>
  <r>
    <x v="12"/>
    <x v="0"/>
    <x v="11"/>
    <n v="79320"/>
    <n v="36817"/>
  </r>
  <r>
    <x v="12"/>
    <x v="1"/>
    <x v="0"/>
    <n v="83898"/>
    <n v="21948"/>
  </r>
  <r>
    <x v="12"/>
    <x v="1"/>
    <x v="1"/>
    <n v="93252"/>
    <n v="23260"/>
  </r>
  <r>
    <x v="12"/>
    <x v="1"/>
    <x v="2"/>
    <n v="102294"/>
    <n v="30412"/>
  </r>
  <r>
    <x v="12"/>
    <x v="1"/>
    <x v="3"/>
    <n v="102362"/>
    <n v="28036"/>
  </r>
  <r>
    <x v="12"/>
    <x v="1"/>
    <x v="4"/>
    <n v="96274"/>
    <n v="28480"/>
  </r>
  <r>
    <x v="12"/>
    <x v="1"/>
    <x v="5"/>
    <n v="91219"/>
    <n v="23101"/>
  </r>
  <r>
    <x v="12"/>
    <x v="1"/>
    <x v="6"/>
    <n v="94679"/>
    <n v="27494"/>
  </r>
  <r>
    <x v="12"/>
    <x v="1"/>
    <x v="7"/>
    <n v="94204"/>
    <n v="34507"/>
  </r>
  <r>
    <x v="12"/>
    <x v="1"/>
    <x v="8"/>
    <n v="95001"/>
    <n v="21423"/>
  </r>
  <r>
    <x v="12"/>
    <x v="1"/>
    <x v="9"/>
    <n v="102867"/>
    <n v="24564"/>
  </r>
  <r>
    <x v="12"/>
    <x v="1"/>
    <x v="10"/>
    <n v="100618"/>
    <n v="29393"/>
  </r>
  <r>
    <x v="12"/>
    <x v="1"/>
    <x v="11"/>
    <n v="97906"/>
    <n v="48126"/>
  </r>
  <r>
    <x v="12"/>
    <x v="2"/>
    <x v="0"/>
    <n v="28266"/>
    <n v="11258"/>
  </r>
  <r>
    <x v="12"/>
    <x v="2"/>
    <x v="1"/>
    <n v="27122"/>
    <n v="10742"/>
  </r>
  <r>
    <x v="12"/>
    <x v="2"/>
    <x v="2"/>
    <n v="37860"/>
    <n v="12210"/>
  </r>
  <r>
    <x v="12"/>
    <x v="2"/>
    <x v="3"/>
    <n v="42908"/>
    <n v="14255"/>
  </r>
  <r>
    <x v="12"/>
    <x v="2"/>
    <x v="4"/>
    <n v="41327"/>
    <n v="15954"/>
  </r>
  <r>
    <x v="12"/>
    <x v="2"/>
    <x v="5"/>
    <n v="37645"/>
    <n v="13776"/>
  </r>
  <r>
    <x v="12"/>
    <x v="2"/>
    <x v="6"/>
    <n v="35444"/>
    <n v="14978"/>
  </r>
  <r>
    <x v="12"/>
    <x v="2"/>
    <x v="7"/>
    <n v="30227"/>
    <n v="16342"/>
  </r>
  <r>
    <x v="12"/>
    <x v="2"/>
    <x v="8"/>
    <n v="32123"/>
    <n v="12152"/>
  </r>
  <r>
    <x v="12"/>
    <x v="2"/>
    <x v="9"/>
    <n v="42906"/>
    <n v="14526"/>
  </r>
  <r>
    <x v="12"/>
    <x v="2"/>
    <x v="10"/>
    <n v="48650"/>
    <n v="18119"/>
  </r>
  <r>
    <x v="12"/>
    <x v="2"/>
    <x v="11"/>
    <n v="45251"/>
    <n v="33005"/>
  </r>
  <r>
    <x v="12"/>
    <x v="3"/>
    <x v="0"/>
    <n v="105417"/>
    <n v="43169"/>
  </r>
  <r>
    <x v="12"/>
    <x v="3"/>
    <x v="1"/>
    <n v="91510"/>
    <n v="31852"/>
  </r>
  <r>
    <x v="12"/>
    <x v="3"/>
    <x v="2"/>
    <n v="120542"/>
    <n v="42873"/>
  </r>
  <r>
    <x v="12"/>
    <x v="3"/>
    <x v="3"/>
    <n v="158877"/>
    <n v="46233"/>
  </r>
  <r>
    <x v="12"/>
    <x v="3"/>
    <x v="4"/>
    <n v="143987"/>
    <n v="44010"/>
  </r>
  <r>
    <x v="12"/>
    <x v="3"/>
    <x v="5"/>
    <n v="120087"/>
    <n v="34680"/>
  </r>
  <r>
    <x v="12"/>
    <x v="3"/>
    <x v="6"/>
    <n v="116942"/>
    <n v="38139"/>
  </r>
  <r>
    <x v="12"/>
    <x v="3"/>
    <x v="7"/>
    <n v="119899"/>
    <n v="41600"/>
  </r>
  <r>
    <x v="12"/>
    <x v="3"/>
    <x v="8"/>
    <n v="164214"/>
    <n v="41129"/>
  </r>
  <r>
    <x v="12"/>
    <x v="3"/>
    <x v="9"/>
    <n v="173248"/>
    <n v="59929"/>
  </r>
  <r>
    <x v="12"/>
    <x v="3"/>
    <x v="10"/>
    <n v="165096"/>
    <n v="78720"/>
  </r>
  <r>
    <x v="12"/>
    <x v="3"/>
    <x v="11"/>
    <n v="164192"/>
    <n v="145239"/>
  </r>
  <r>
    <x v="12"/>
    <x v="4"/>
    <x v="0"/>
    <n v="1688"/>
    <n v="291"/>
  </r>
  <r>
    <x v="12"/>
    <x v="4"/>
    <x v="1"/>
    <n v="1587"/>
    <n v="268"/>
  </r>
  <r>
    <x v="12"/>
    <x v="4"/>
    <x v="2"/>
    <n v="1708"/>
    <n v="216"/>
  </r>
  <r>
    <x v="12"/>
    <x v="4"/>
    <x v="3"/>
    <n v="1700"/>
    <n v="271"/>
  </r>
  <r>
    <x v="12"/>
    <x v="4"/>
    <x v="4"/>
    <n v="1485"/>
    <n v="452"/>
  </r>
  <r>
    <x v="12"/>
    <x v="4"/>
    <x v="5"/>
    <n v="7460"/>
    <n v="1448"/>
  </r>
  <r>
    <x v="12"/>
    <x v="4"/>
    <x v="6"/>
    <n v="9465"/>
    <n v="3317"/>
  </r>
  <r>
    <x v="12"/>
    <x v="4"/>
    <x v="7"/>
    <n v="8108"/>
    <n v="6037"/>
  </r>
  <r>
    <x v="12"/>
    <x v="4"/>
    <x v="8"/>
    <n v="3512"/>
    <n v="649"/>
  </r>
  <r>
    <x v="12"/>
    <x v="4"/>
    <x v="9"/>
    <n v="4596"/>
    <n v="823"/>
  </r>
  <r>
    <x v="12"/>
    <x v="4"/>
    <x v="10"/>
    <n v="4190"/>
    <n v="1108"/>
  </r>
  <r>
    <x v="12"/>
    <x v="4"/>
    <x v="11"/>
    <n v="3083"/>
    <n v="844"/>
  </r>
  <r>
    <x v="13"/>
    <x v="0"/>
    <x v="0"/>
    <n v="34068"/>
    <n v="7997"/>
  </r>
  <r>
    <x v="13"/>
    <x v="0"/>
    <x v="1"/>
    <n v="34668"/>
    <n v="8813"/>
  </r>
  <r>
    <x v="13"/>
    <x v="0"/>
    <x v="2"/>
    <n v="36554"/>
    <n v="10412"/>
  </r>
  <r>
    <x v="13"/>
    <x v="0"/>
    <x v="3"/>
    <n v="37703"/>
    <n v="10303"/>
  </r>
  <r>
    <x v="13"/>
    <x v="0"/>
    <x v="4"/>
    <n v="37135"/>
    <n v="11505"/>
  </r>
  <r>
    <x v="13"/>
    <x v="0"/>
    <x v="5"/>
    <n v="46424"/>
    <n v="11255"/>
  </r>
  <r>
    <x v="13"/>
    <x v="0"/>
    <x v="6"/>
    <n v="49407"/>
    <n v="9790"/>
  </r>
  <r>
    <x v="13"/>
    <x v="0"/>
    <x v="7"/>
    <n v="53924"/>
    <n v="11014"/>
  </r>
  <r>
    <x v="13"/>
    <x v="0"/>
    <x v="8"/>
    <n v="53841"/>
    <n v="8548"/>
  </r>
  <r>
    <x v="13"/>
    <x v="0"/>
    <x v="9"/>
    <n v="54127"/>
    <n v="8969"/>
  </r>
  <r>
    <x v="13"/>
    <x v="0"/>
    <x v="10"/>
    <n v="54298"/>
    <n v="10476"/>
  </r>
  <r>
    <x v="13"/>
    <x v="0"/>
    <x v="11"/>
    <n v="53553"/>
    <n v="19584"/>
  </r>
  <r>
    <x v="13"/>
    <x v="1"/>
    <x v="0"/>
    <n v="54635"/>
    <n v="8804"/>
  </r>
  <r>
    <x v="13"/>
    <x v="1"/>
    <x v="1"/>
    <n v="53681"/>
    <n v="7416"/>
  </r>
  <r>
    <x v="13"/>
    <x v="1"/>
    <x v="2"/>
    <n v="53285"/>
    <n v="9146"/>
  </r>
  <r>
    <x v="13"/>
    <x v="1"/>
    <x v="3"/>
    <n v="58893"/>
    <n v="10048"/>
  </r>
  <r>
    <x v="13"/>
    <x v="1"/>
    <x v="4"/>
    <n v="59556"/>
    <n v="10889"/>
  </r>
  <r>
    <x v="13"/>
    <x v="1"/>
    <x v="5"/>
    <n v="61678"/>
    <n v="10404"/>
  </r>
  <r>
    <x v="13"/>
    <x v="1"/>
    <x v="6"/>
    <n v="62715"/>
    <n v="11484"/>
  </r>
  <r>
    <x v="13"/>
    <x v="1"/>
    <x v="7"/>
    <n v="61872"/>
    <n v="13228"/>
  </r>
  <r>
    <x v="13"/>
    <x v="1"/>
    <x v="8"/>
    <n v="56749"/>
    <n v="7943"/>
  </r>
  <r>
    <x v="13"/>
    <x v="1"/>
    <x v="9"/>
    <n v="59586"/>
    <n v="8866"/>
  </r>
  <r>
    <x v="13"/>
    <x v="1"/>
    <x v="10"/>
    <n v="60880"/>
    <n v="12630"/>
  </r>
  <r>
    <x v="13"/>
    <x v="1"/>
    <x v="11"/>
    <n v="58551"/>
    <n v="21564"/>
  </r>
  <r>
    <x v="13"/>
    <x v="2"/>
    <x v="0"/>
    <n v="23968"/>
    <n v="5794"/>
  </r>
  <r>
    <x v="13"/>
    <x v="2"/>
    <x v="1"/>
    <n v="27805"/>
    <n v="5735"/>
  </r>
  <r>
    <x v="13"/>
    <x v="2"/>
    <x v="2"/>
    <n v="33715"/>
    <n v="6596"/>
  </r>
  <r>
    <x v="13"/>
    <x v="2"/>
    <x v="3"/>
    <n v="36756"/>
    <n v="6666"/>
  </r>
  <r>
    <x v="13"/>
    <x v="2"/>
    <x v="4"/>
    <n v="35962"/>
    <n v="6478"/>
  </r>
  <r>
    <x v="13"/>
    <x v="2"/>
    <x v="5"/>
    <n v="35152"/>
    <n v="6349"/>
  </r>
  <r>
    <x v="13"/>
    <x v="2"/>
    <x v="6"/>
    <n v="33383"/>
    <n v="6616"/>
  </r>
  <r>
    <x v="13"/>
    <x v="2"/>
    <x v="7"/>
    <n v="32438"/>
    <n v="7943"/>
  </r>
  <r>
    <x v="13"/>
    <x v="2"/>
    <x v="8"/>
    <n v="29510"/>
    <n v="5101"/>
  </r>
  <r>
    <x v="13"/>
    <x v="2"/>
    <x v="9"/>
    <n v="34360"/>
    <n v="5567"/>
  </r>
  <r>
    <x v="13"/>
    <x v="2"/>
    <x v="10"/>
    <n v="37932"/>
    <n v="8118"/>
  </r>
  <r>
    <x v="13"/>
    <x v="2"/>
    <x v="11"/>
    <n v="33837"/>
    <n v="15836"/>
  </r>
  <r>
    <x v="13"/>
    <x v="3"/>
    <x v="0"/>
    <n v="55541"/>
    <n v="12583"/>
  </r>
  <r>
    <x v="13"/>
    <x v="3"/>
    <x v="1"/>
    <n v="66349"/>
    <n v="10405"/>
  </r>
  <r>
    <x v="13"/>
    <x v="3"/>
    <x v="2"/>
    <n v="75295"/>
    <n v="11393"/>
  </r>
  <r>
    <x v="13"/>
    <x v="3"/>
    <x v="3"/>
    <n v="100424"/>
    <n v="13408"/>
  </r>
  <r>
    <x v="13"/>
    <x v="3"/>
    <x v="4"/>
    <n v="104856"/>
    <n v="13502"/>
  </r>
  <r>
    <x v="13"/>
    <x v="3"/>
    <x v="5"/>
    <n v="99823"/>
    <n v="13101"/>
  </r>
  <r>
    <x v="13"/>
    <x v="3"/>
    <x v="6"/>
    <n v="93333"/>
    <n v="12103"/>
  </r>
  <r>
    <x v="13"/>
    <x v="3"/>
    <x v="7"/>
    <n v="94207"/>
    <n v="10499"/>
  </r>
  <r>
    <x v="13"/>
    <x v="3"/>
    <x v="8"/>
    <n v="109411"/>
    <n v="9713"/>
  </r>
  <r>
    <x v="13"/>
    <x v="3"/>
    <x v="9"/>
    <n v="117951"/>
    <n v="13475"/>
  </r>
  <r>
    <x v="13"/>
    <x v="3"/>
    <x v="10"/>
    <n v="125624"/>
    <n v="22746"/>
  </r>
  <r>
    <x v="13"/>
    <x v="3"/>
    <x v="11"/>
    <n v="114586"/>
    <n v="46335"/>
  </r>
  <r>
    <x v="13"/>
    <x v="4"/>
    <x v="0"/>
    <n v="2005"/>
    <n v="167"/>
  </r>
  <r>
    <x v="13"/>
    <x v="4"/>
    <x v="1"/>
    <n v="1896"/>
    <n v="153"/>
  </r>
  <r>
    <x v="13"/>
    <x v="4"/>
    <x v="2"/>
    <n v="1795"/>
    <n v="152"/>
  </r>
  <r>
    <x v="13"/>
    <x v="4"/>
    <x v="3"/>
    <n v="1770"/>
    <n v="138"/>
  </r>
  <r>
    <x v="13"/>
    <x v="4"/>
    <x v="4"/>
    <n v="1753"/>
    <n v="169"/>
  </r>
  <r>
    <x v="13"/>
    <x v="4"/>
    <x v="5"/>
    <n v="3488"/>
    <n v="315"/>
  </r>
  <r>
    <x v="13"/>
    <x v="4"/>
    <x v="6"/>
    <n v="5130"/>
    <n v="975"/>
  </r>
  <r>
    <x v="13"/>
    <x v="4"/>
    <x v="7"/>
    <n v="5152"/>
    <n v="2332"/>
  </r>
  <r>
    <x v="13"/>
    <x v="4"/>
    <x v="8"/>
    <n v="3022"/>
    <n v="341"/>
  </r>
  <r>
    <x v="13"/>
    <x v="4"/>
    <x v="9"/>
    <n v="3608"/>
    <n v="355"/>
  </r>
  <r>
    <x v="13"/>
    <x v="4"/>
    <x v="10"/>
    <n v="3610"/>
    <n v="545"/>
  </r>
  <r>
    <x v="13"/>
    <x v="4"/>
    <x v="11"/>
    <n v="3122"/>
    <n v="497"/>
  </r>
  <r>
    <x v="14"/>
    <x v="0"/>
    <x v="0"/>
    <n v="101792"/>
    <n v="54038"/>
  </r>
  <r>
    <x v="14"/>
    <x v="0"/>
    <x v="1"/>
    <n v="106945"/>
    <n v="58998"/>
  </r>
  <r>
    <x v="14"/>
    <x v="0"/>
    <x v="2"/>
    <n v="131424"/>
    <n v="75218"/>
  </r>
  <r>
    <x v="14"/>
    <x v="0"/>
    <x v="3"/>
    <n v="137313"/>
    <n v="64331"/>
  </r>
  <r>
    <x v="14"/>
    <x v="0"/>
    <x v="4"/>
    <n v="133986"/>
    <n v="67155"/>
  </r>
  <r>
    <x v="14"/>
    <x v="0"/>
    <x v="5"/>
    <n v="151040"/>
    <n v="71510"/>
  </r>
  <r>
    <x v="14"/>
    <x v="0"/>
    <x v="6"/>
    <n v="141191"/>
    <n v="65704"/>
  </r>
  <r>
    <x v="14"/>
    <x v="0"/>
    <x v="7"/>
    <n v="146783"/>
    <n v="75709"/>
  </r>
  <r>
    <x v="14"/>
    <x v="0"/>
    <x v="8"/>
    <n v="156720"/>
    <n v="64458"/>
  </r>
  <r>
    <x v="14"/>
    <x v="0"/>
    <x v="9"/>
    <n v="142208"/>
    <n v="61463"/>
  </r>
  <r>
    <x v="14"/>
    <x v="0"/>
    <x v="10"/>
    <n v="137287"/>
    <n v="64814"/>
  </r>
  <r>
    <x v="14"/>
    <x v="0"/>
    <x v="11"/>
    <n v="153394"/>
    <n v="88868"/>
  </r>
  <r>
    <x v="14"/>
    <x v="1"/>
    <x v="0"/>
    <n v="132068"/>
    <n v="57266"/>
  </r>
  <r>
    <x v="14"/>
    <x v="1"/>
    <x v="1"/>
    <n v="138897"/>
    <n v="60013"/>
  </r>
  <r>
    <x v="14"/>
    <x v="1"/>
    <x v="2"/>
    <n v="151780"/>
    <n v="76607"/>
  </r>
  <r>
    <x v="14"/>
    <x v="1"/>
    <x v="3"/>
    <n v="158231"/>
    <n v="67385"/>
  </r>
  <r>
    <x v="14"/>
    <x v="1"/>
    <x v="4"/>
    <n v="146483"/>
    <n v="69963"/>
  </r>
  <r>
    <x v="14"/>
    <x v="1"/>
    <x v="5"/>
    <n v="143416"/>
    <n v="60865"/>
  </r>
  <r>
    <x v="14"/>
    <x v="1"/>
    <x v="6"/>
    <n v="148152"/>
    <n v="78785"/>
  </r>
  <r>
    <x v="14"/>
    <x v="1"/>
    <x v="7"/>
    <n v="172780"/>
    <n v="86613"/>
  </r>
  <r>
    <x v="14"/>
    <x v="1"/>
    <x v="8"/>
    <n v="159901"/>
    <n v="62285"/>
  </r>
  <r>
    <x v="14"/>
    <x v="1"/>
    <x v="9"/>
    <n v="169050"/>
    <n v="63673"/>
  </r>
  <r>
    <x v="14"/>
    <x v="1"/>
    <x v="10"/>
    <n v="169944"/>
    <n v="72144"/>
  </r>
  <r>
    <x v="14"/>
    <x v="1"/>
    <x v="11"/>
    <n v="169981"/>
    <n v="105955"/>
  </r>
  <r>
    <x v="14"/>
    <x v="2"/>
    <x v="0"/>
    <n v="35661"/>
    <n v="17454"/>
  </r>
  <r>
    <x v="14"/>
    <x v="2"/>
    <x v="1"/>
    <n v="32543"/>
    <n v="14202"/>
  </r>
  <r>
    <x v="14"/>
    <x v="2"/>
    <x v="2"/>
    <n v="44681"/>
    <n v="16821"/>
  </r>
  <r>
    <x v="14"/>
    <x v="2"/>
    <x v="3"/>
    <n v="51176"/>
    <n v="17506"/>
  </r>
  <r>
    <x v="14"/>
    <x v="2"/>
    <x v="4"/>
    <n v="49146"/>
    <n v="19627"/>
  </r>
  <r>
    <x v="14"/>
    <x v="2"/>
    <x v="5"/>
    <n v="46323"/>
    <n v="19036"/>
  </r>
  <r>
    <x v="14"/>
    <x v="2"/>
    <x v="6"/>
    <n v="41732"/>
    <n v="19379"/>
  </r>
  <r>
    <x v="14"/>
    <x v="2"/>
    <x v="7"/>
    <n v="36271"/>
    <n v="18684"/>
  </r>
  <r>
    <x v="14"/>
    <x v="2"/>
    <x v="8"/>
    <n v="36324"/>
    <n v="13682"/>
  </r>
  <r>
    <x v="14"/>
    <x v="2"/>
    <x v="9"/>
    <n v="45921"/>
    <n v="17747"/>
  </r>
  <r>
    <x v="14"/>
    <x v="2"/>
    <x v="10"/>
    <n v="53957"/>
    <n v="20752"/>
  </r>
  <r>
    <x v="14"/>
    <x v="2"/>
    <x v="11"/>
    <n v="55549"/>
    <n v="32196"/>
  </r>
  <r>
    <x v="14"/>
    <x v="3"/>
    <x v="0"/>
    <n v="153532"/>
    <n v="67409"/>
  </r>
  <r>
    <x v="14"/>
    <x v="3"/>
    <x v="1"/>
    <n v="123099"/>
    <n v="51096"/>
  </r>
  <r>
    <x v="14"/>
    <x v="3"/>
    <x v="2"/>
    <n v="161783"/>
    <n v="73066"/>
  </r>
  <r>
    <x v="14"/>
    <x v="3"/>
    <x v="3"/>
    <n v="245325"/>
    <n v="72499"/>
  </r>
  <r>
    <x v="14"/>
    <x v="3"/>
    <x v="4"/>
    <n v="232163"/>
    <n v="73776"/>
  </r>
  <r>
    <x v="14"/>
    <x v="3"/>
    <x v="5"/>
    <n v="191457"/>
    <n v="63221"/>
  </r>
  <r>
    <x v="14"/>
    <x v="3"/>
    <x v="6"/>
    <n v="185345"/>
    <n v="72773"/>
  </r>
  <r>
    <x v="14"/>
    <x v="3"/>
    <x v="7"/>
    <n v="172719"/>
    <n v="78926"/>
  </r>
  <r>
    <x v="14"/>
    <x v="3"/>
    <x v="8"/>
    <n v="244039"/>
    <n v="78586"/>
  </r>
  <r>
    <x v="14"/>
    <x v="3"/>
    <x v="9"/>
    <n v="242316"/>
    <n v="87952"/>
  </r>
  <r>
    <x v="14"/>
    <x v="3"/>
    <x v="10"/>
    <n v="232949"/>
    <n v="108724"/>
  </r>
  <r>
    <x v="14"/>
    <x v="3"/>
    <x v="11"/>
    <n v="229943"/>
    <n v="189811"/>
  </r>
  <r>
    <x v="14"/>
    <x v="4"/>
    <x v="0"/>
    <n v="3224"/>
    <n v="493"/>
  </r>
  <r>
    <x v="14"/>
    <x v="4"/>
    <x v="1"/>
    <n v="3473"/>
    <n v="467"/>
  </r>
  <r>
    <x v="14"/>
    <x v="4"/>
    <x v="2"/>
    <n v="3938"/>
    <n v="472"/>
  </r>
  <r>
    <x v="14"/>
    <x v="4"/>
    <x v="3"/>
    <n v="3924"/>
    <n v="432"/>
  </r>
  <r>
    <x v="14"/>
    <x v="4"/>
    <x v="4"/>
    <n v="3532"/>
    <n v="878"/>
  </r>
  <r>
    <x v="14"/>
    <x v="4"/>
    <x v="5"/>
    <n v="14729"/>
    <n v="1690"/>
  </r>
  <r>
    <x v="14"/>
    <x v="4"/>
    <x v="6"/>
    <n v="20444"/>
    <n v="4600"/>
  </r>
  <r>
    <x v="14"/>
    <x v="4"/>
    <x v="7"/>
    <n v="17778"/>
    <n v="10120"/>
  </r>
  <r>
    <x v="14"/>
    <x v="4"/>
    <x v="8"/>
    <n v="8023"/>
    <n v="1695"/>
  </r>
  <r>
    <x v="14"/>
    <x v="4"/>
    <x v="9"/>
    <n v="9477"/>
    <n v="2018"/>
  </r>
  <r>
    <x v="14"/>
    <x v="4"/>
    <x v="10"/>
    <n v="8135"/>
    <n v="2178"/>
  </r>
  <r>
    <x v="14"/>
    <x v="4"/>
    <x v="11"/>
    <n v="6037"/>
    <n v="1533"/>
  </r>
  <r>
    <x v="15"/>
    <x v="0"/>
    <x v="0"/>
    <n v="116771"/>
    <n v="66217"/>
  </r>
  <r>
    <x v="15"/>
    <x v="0"/>
    <x v="1"/>
    <n v="130538"/>
    <n v="73121"/>
  </r>
  <r>
    <x v="15"/>
    <x v="0"/>
    <x v="2"/>
    <n v="160183"/>
    <n v="91935"/>
  </r>
  <r>
    <x v="15"/>
    <x v="0"/>
    <x v="3"/>
    <n v="169770"/>
    <n v="74903"/>
  </r>
  <r>
    <x v="15"/>
    <x v="0"/>
    <x v="4"/>
    <n v="158030"/>
    <n v="84284"/>
  </r>
  <r>
    <x v="15"/>
    <x v="0"/>
    <x v="5"/>
    <n v="177355"/>
    <n v="87699"/>
  </r>
  <r>
    <x v="15"/>
    <x v="0"/>
    <x v="6"/>
    <n v="164374"/>
    <n v="77070"/>
  </r>
  <r>
    <x v="15"/>
    <x v="0"/>
    <x v="7"/>
    <n v="166717"/>
    <n v="95091"/>
  </r>
  <r>
    <x v="15"/>
    <x v="0"/>
    <x v="8"/>
    <n v="181741"/>
    <n v="76008"/>
  </r>
  <r>
    <x v="15"/>
    <x v="0"/>
    <x v="9"/>
    <n v="167219"/>
    <n v="70377"/>
  </r>
  <r>
    <x v="15"/>
    <x v="0"/>
    <x v="10"/>
    <n v="152058"/>
    <n v="75371"/>
  </r>
  <r>
    <x v="15"/>
    <x v="0"/>
    <x v="11"/>
    <n v="177807"/>
    <n v="112692"/>
  </r>
  <r>
    <x v="15"/>
    <x v="1"/>
    <x v="0"/>
    <n v="153429"/>
    <n v="66037"/>
  </r>
  <r>
    <x v="15"/>
    <x v="1"/>
    <x v="1"/>
    <n v="182031"/>
    <n v="75260"/>
  </r>
  <r>
    <x v="15"/>
    <x v="1"/>
    <x v="2"/>
    <n v="218213"/>
    <n v="97963"/>
  </r>
  <r>
    <x v="15"/>
    <x v="1"/>
    <x v="3"/>
    <n v="209095"/>
    <n v="79501"/>
  </r>
  <r>
    <x v="15"/>
    <x v="1"/>
    <x v="4"/>
    <n v="172266"/>
    <n v="78869"/>
  </r>
  <r>
    <x v="15"/>
    <x v="1"/>
    <x v="5"/>
    <n v="161846"/>
    <n v="67816"/>
  </r>
  <r>
    <x v="15"/>
    <x v="1"/>
    <x v="6"/>
    <n v="175287"/>
    <n v="84253"/>
  </r>
  <r>
    <x v="15"/>
    <x v="1"/>
    <x v="7"/>
    <n v="178751"/>
    <n v="106194"/>
  </r>
  <r>
    <x v="15"/>
    <x v="1"/>
    <x v="8"/>
    <n v="188025"/>
    <n v="68606"/>
  </r>
  <r>
    <x v="15"/>
    <x v="1"/>
    <x v="9"/>
    <n v="205583"/>
    <n v="72033"/>
  </r>
  <r>
    <x v="15"/>
    <x v="1"/>
    <x v="10"/>
    <n v="190283"/>
    <n v="79215"/>
  </r>
  <r>
    <x v="15"/>
    <x v="1"/>
    <x v="11"/>
    <n v="186436"/>
    <n v="118123"/>
  </r>
  <r>
    <x v="15"/>
    <x v="2"/>
    <x v="0"/>
    <n v="52588"/>
    <n v="23008"/>
  </r>
  <r>
    <x v="15"/>
    <x v="2"/>
    <x v="1"/>
    <n v="47981"/>
    <n v="18987"/>
  </r>
  <r>
    <x v="15"/>
    <x v="2"/>
    <x v="2"/>
    <n v="64616"/>
    <n v="24445"/>
  </r>
  <r>
    <x v="15"/>
    <x v="2"/>
    <x v="3"/>
    <n v="77080"/>
    <n v="23882"/>
  </r>
  <r>
    <x v="15"/>
    <x v="2"/>
    <x v="4"/>
    <n v="74752"/>
    <n v="24930"/>
  </r>
  <r>
    <x v="15"/>
    <x v="2"/>
    <x v="5"/>
    <n v="69871"/>
    <n v="24169"/>
  </r>
  <r>
    <x v="15"/>
    <x v="2"/>
    <x v="6"/>
    <n v="65436"/>
    <n v="25330"/>
  </r>
  <r>
    <x v="15"/>
    <x v="2"/>
    <x v="7"/>
    <n v="60294"/>
    <n v="24888"/>
  </r>
  <r>
    <x v="15"/>
    <x v="2"/>
    <x v="8"/>
    <n v="63176"/>
    <n v="19723"/>
  </r>
  <r>
    <x v="15"/>
    <x v="2"/>
    <x v="9"/>
    <n v="77221"/>
    <n v="23879"/>
  </r>
  <r>
    <x v="15"/>
    <x v="2"/>
    <x v="10"/>
    <n v="89031"/>
    <n v="29020"/>
  </r>
  <r>
    <x v="15"/>
    <x v="2"/>
    <x v="11"/>
    <n v="80247"/>
    <n v="47117"/>
  </r>
  <r>
    <x v="15"/>
    <x v="3"/>
    <x v="0"/>
    <n v="166859"/>
    <n v="73850"/>
  </r>
  <r>
    <x v="15"/>
    <x v="3"/>
    <x v="1"/>
    <n v="145519"/>
    <n v="61491"/>
  </r>
  <r>
    <x v="15"/>
    <x v="3"/>
    <x v="2"/>
    <n v="202320"/>
    <n v="89082"/>
  </r>
  <r>
    <x v="15"/>
    <x v="3"/>
    <x v="3"/>
    <n v="302004"/>
    <n v="89470"/>
  </r>
  <r>
    <x v="15"/>
    <x v="3"/>
    <x v="4"/>
    <n v="278453"/>
    <n v="83799"/>
  </r>
  <r>
    <x v="15"/>
    <x v="3"/>
    <x v="5"/>
    <n v="234725"/>
    <n v="73431"/>
  </r>
  <r>
    <x v="15"/>
    <x v="3"/>
    <x v="6"/>
    <n v="202527"/>
    <n v="77174"/>
  </r>
  <r>
    <x v="15"/>
    <x v="3"/>
    <x v="7"/>
    <n v="201293"/>
    <n v="93803"/>
  </r>
  <r>
    <x v="15"/>
    <x v="3"/>
    <x v="8"/>
    <n v="279358"/>
    <n v="90936"/>
  </r>
  <r>
    <x v="15"/>
    <x v="3"/>
    <x v="9"/>
    <n v="289644"/>
    <n v="111930"/>
  </r>
  <r>
    <x v="15"/>
    <x v="3"/>
    <x v="10"/>
    <n v="269552"/>
    <n v="141793"/>
  </r>
  <r>
    <x v="15"/>
    <x v="3"/>
    <x v="11"/>
    <n v="278627"/>
    <n v="258813"/>
  </r>
  <r>
    <x v="15"/>
    <x v="4"/>
    <x v="0"/>
    <n v="5819"/>
    <n v="524"/>
  </r>
  <r>
    <x v="15"/>
    <x v="4"/>
    <x v="1"/>
    <n v="6359"/>
    <n v="580"/>
  </r>
  <r>
    <x v="15"/>
    <x v="4"/>
    <x v="2"/>
    <n v="6798"/>
    <n v="646"/>
  </r>
  <r>
    <x v="15"/>
    <x v="4"/>
    <x v="3"/>
    <n v="6699"/>
    <n v="613"/>
  </r>
  <r>
    <x v="15"/>
    <x v="4"/>
    <x v="4"/>
    <n v="6153"/>
    <n v="1030"/>
  </r>
  <r>
    <x v="15"/>
    <x v="4"/>
    <x v="5"/>
    <n v="17957"/>
    <n v="3013"/>
  </r>
  <r>
    <x v="15"/>
    <x v="4"/>
    <x v="6"/>
    <n v="23360"/>
    <n v="6928"/>
  </r>
  <r>
    <x v="15"/>
    <x v="4"/>
    <x v="7"/>
    <n v="20177"/>
    <n v="12754"/>
  </r>
  <r>
    <x v="15"/>
    <x v="4"/>
    <x v="8"/>
    <n v="10224"/>
    <n v="2403"/>
  </r>
  <r>
    <x v="15"/>
    <x v="4"/>
    <x v="9"/>
    <n v="12413"/>
    <n v="2235"/>
  </r>
  <r>
    <x v="15"/>
    <x v="4"/>
    <x v="10"/>
    <n v="11838"/>
    <n v="2912"/>
  </r>
  <r>
    <x v="15"/>
    <x v="4"/>
    <x v="11"/>
    <n v="8234"/>
    <n v="1964"/>
  </r>
  <r>
    <x v="16"/>
    <x v="0"/>
    <x v="0"/>
    <n v="55168"/>
    <n v="13348"/>
  </r>
  <r>
    <x v="16"/>
    <x v="0"/>
    <x v="1"/>
    <n v="61296"/>
    <n v="14641"/>
  </r>
  <r>
    <x v="16"/>
    <x v="0"/>
    <x v="2"/>
    <n v="67413"/>
    <n v="17041"/>
  </r>
  <r>
    <x v="16"/>
    <x v="0"/>
    <x v="3"/>
    <n v="69439"/>
    <n v="16068"/>
  </r>
  <r>
    <x v="16"/>
    <x v="0"/>
    <x v="4"/>
    <n v="66370"/>
    <n v="15813"/>
  </r>
  <r>
    <x v="16"/>
    <x v="0"/>
    <x v="5"/>
    <n v="71785"/>
    <n v="15967"/>
  </r>
  <r>
    <x v="16"/>
    <x v="0"/>
    <x v="6"/>
    <n v="66287"/>
    <n v="15400"/>
  </r>
  <r>
    <x v="16"/>
    <x v="0"/>
    <x v="7"/>
    <n v="67266"/>
    <n v="17866"/>
  </r>
  <r>
    <x v="16"/>
    <x v="0"/>
    <x v="8"/>
    <n v="71563"/>
    <n v="14030"/>
  </r>
  <r>
    <x v="16"/>
    <x v="0"/>
    <x v="9"/>
    <n v="67062"/>
    <n v="14218"/>
  </r>
  <r>
    <x v="16"/>
    <x v="0"/>
    <x v="10"/>
    <n v="63939"/>
    <n v="17650"/>
  </r>
  <r>
    <x v="16"/>
    <x v="0"/>
    <x v="11"/>
    <n v="68071"/>
    <n v="27661"/>
  </r>
  <r>
    <x v="16"/>
    <x v="1"/>
    <x v="0"/>
    <n v="77266"/>
    <n v="15283"/>
  </r>
  <r>
    <x v="16"/>
    <x v="1"/>
    <x v="1"/>
    <n v="104827"/>
    <n v="19244"/>
  </r>
  <r>
    <x v="16"/>
    <x v="1"/>
    <x v="2"/>
    <n v="109113"/>
    <n v="25203"/>
  </r>
  <r>
    <x v="16"/>
    <x v="1"/>
    <x v="3"/>
    <n v="107003"/>
    <n v="23380"/>
  </r>
  <r>
    <x v="16"/>
    <x v="1"/>
    <x v="4"/>
    <n v="96049"/>
    <n v="22731"/>
  </r>
  <r>
    <x v="16"/>
    <x v="1"/>
    <x v="5"/>
    <n v="84220"/>
    <n v="18851"/>
  </r>
  <r>
    <x v="16"/>
    <x v="1"/>
    <x v="6"/>
    <n v="73306"/>
    <n v="21191"/>
  </r>
  <r>
    <x v="16"/>
    <x v="1"/>
    <x v="7"/>
    <n v="68492"/>
    <n v="22897"/>
  </r>
  <r>
    <x v="16"/>
    <x v="1"/>
    <x v="8"/>
    <n v="64673"/>
    <n v="14636"/>
  </r>
  <r>
    <x v="16"/>
    <x v="1"/>
    <x v="9"/>
    <n v="75622"/>
    <n v="15526"/>
  </r>
  <r>
    <x v="16"/>
    <x v="1"/>
    <x v="10"/>
    <n v="79684"/>
    <n v="19452"/>
  </r>
  <r>
    <x v="16"/>
    <x v="1"/>
    <x v="11"/>
    <n v="74372"/>
    <n v="31366"/>
  </r>
  <r>
    <x v="16"/>
    <x v="2"/>
    <x v="0"/>
    <n v="22968"/>
    <n v="6924"/>
  </r>
  <r>
    <x v="16"/>
    <x v="2"/>
    <x v="1"/>
    <n v="23729"/>
    <n v="6778"/>
  </r>
  <r>
    <x v="16"/>
    <x v="2"/>
    <x v="2"/>
    <n v="26519"/>
    <n v="7631"/>
  </r>
  <r>
    <x v="16"/>
    <x v="2"/>
    <x v="3"/>
    <n v="36045"/>
    <n v="9317"/>
  </r>
  <r>
    <x v="16"/>
    <x v="2"/>
    <x v="4"/>
    <n v="35221"/>
    <n v="9798"/>
  </r>
  <r>
    <x v="16"/>
    <x v="2"/>
    <x v="5"/>
    <n v="34614"/>
    <n v="9459"/>
  </r>
  <r>
    <x v="16"/>
    <x v="2"/>
    <x v="6"/>
    <n v="33348"/>
    <n v="10470"/>
  </r>
  <r>
    <x v="16"/>
    <x v="2"/>
    <x v="7"/>
    <n v="29935"/>
    <n v="10259"/>
  </r>
  <r>
    <x v="16"/>
    <x v="2"/>
    <x v="8"/>
    <n v="26673"/>
    <n v="6664"/>
  </r>
  <r>
    <x v="16"/>
    <x v="2"/>
    <x v="9"/>
    <n v="30977"/>
    <n v="8711"/>
  </r>
  <r>
    <x v="16"/>
    <x v="2"/>
    <x v="10"/>
    <n v="32341"/>
    <n v="10340"/>
  </r>
  <r>
    <x v="16"/>
    <x v="2"/>
    <x v="11"/>
    <n v="30293"/>
    <n v="15786"/>
  </r>
  <r>
    <x v="16"/>
    <x v="3"/>
    <x v="0"/>
    <n v="43186"/>
    <n v="8714"/>
  </r>
  <r>
    <x v="16"/>
    <x v="3"/>
    <x v="1"/>
    <n v="41476"/>
    <n v="9451"/>
  </r>
  <r>
    <x v="16"/>
    <x v="3"/>
    <x v="2"/>
    <n v="48185"/>
    <n v="12932"/>
  </r>
  <r>
    <x v="16"/>
    <x v="3"/>
    <x v="3"/>
    <n v="77526"/>
    <n v="15397"/>
  </r>
  <r>
    <x v="16"/>
    <x v="3"/>
    <x v="4"/>
    <n v="69874"/>
    <n v="14385"/>
  </r>
  <r>
    <x v="16"/>
    <x v="3"/>
    <x v="5"/>
    <n v="65872"/>
    <n v="11665"/>
  </r>
  <r>
    <x v="16"/>
    <x v="3"/>
    <x v="6"/>
    <n v="60030"/>
    <n v="12333"/>
  </r>
  <r>
    <x v="16"/>
    <x v="3"/>
    <x v="7"/>
    <n v="55527"/>
    <n v="11401"/>
  </r>
  <r>
    <x v="16"/>
    <x v="3"/>
    <x v="8"/>
    <n v="64468"/>
    <n v="9824"/>
  </r>
  <r>
    <x v="16"/>
    <x v="3"/>
    <x v="9"/>
    <n v="63629"/>
    <n v="11424"/>
  </r>
  <r>
    <x v="16"/>
    <x v="3"/>
    <x v="10"/>
    <n v="68481"/>
    <n v="17278"/>
  </r>
  <r>
    <x v="16"/>
    <x v="3"/>
    <x v="11"/>
    <n v="59801"/>
    <n v="31791"/>
  </r>
  <r>
    <x v="16"/>
    <x v="4"/>
    <x v="0"/>
    <n v="1956"/>
    <n v="295"/>
  </r>
  <r>
    <x v="16"/>
    <x v="4"/>
    <x v="1"/>
    <n v="1948"/>
    <n v="212"/>
  </r>
  <r>
    <x v="16"/>
    <x v="4"/>
    <x v="2"/>
    <n v="1791"/>
    <n v="203"/>
  </r>
  <r>
    <x v="16"/>
    <x v="4"/>
    <x v="3"/>
    <n v="2048"/>
    <n v="264"/>
  </r>
  <r>
    <x v="16"/>
    <x v="4"/>
    <x v="4"/>
    <n v="1867"/>
    <n v="343"/>
  </r>
  <r>
    <x v="16"/>
    <x v="4"/>
    <x v="5"/>
    <n v="6349"/>
    <n v="739"/>
  </r>
  <r>
    <x v="16"/>
    <x v="4"/>
    <x v="6"/>
    <n v="8839"/>
    <n v="2554"/>
  </r>
  <r>
    <x v="16"/>
    <x v="4"/>
    <x v="7"/>
    <n v="7600"/>
    <n v="5213"/>
  </r>
  <r>
    <x v="16"/>
    <x v="4"/>
    <x v="8"/>
    <n v="3373"/>
    <n v="735"/>
  </r>
  <r>
    <x v="16"/>
    <x v="4"/>
    <x v="9"/>
    <n v="3968"/>
    <n v="580"/>
  </r>
  <r>
    <x v="16"/>
    <x v="4"/>
    <x v="10"/>
    <n v="4044"/>
    <n v="912"/>
  </r>
  <r>
    <x v="16"/>
    <x v="4"/>
    <x v="11"/>
    <n v="2994"/>
    <n v="7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49CDF2-5C84-4548-B381-8E334D641199}" name="TablaDinámica14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Unidad de negocio">
  <location ref="G32:K47" firstHeaderRow="1" firstDataRow="3" firstDataCol="1"/>
  <pivotFields count="5">
    <pivotField showAll="0"/>
    <pivotField axis="axisCol" showAll="0">
      <items count="6">
        <item x="4"/>
        <item h="1" x="0"/>
        <item h="1" x="1"/>
        <item h="1" x="2"/>
        <item h="1"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3" showAll="0"/>
    <pivotField dataField="1" numFmtId="3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1"/>
    <field x="-2"/>
  </colFields>
  <colItems count="4">
    <i>
      <x/>
      <x/>
    </i>
    <i r="1" i="1">
      <x v="1"/>
    </i>
    <i t="grand">
      <x/>
    </i>
    <i t="grand" i="1">
      <x/>
    </i>
  </colItems>
  <dataFields count="2">
    <dataField name="Suma de INV PZS" fld="3" baseField="0" baseItem="0" numFmtId="3"/>
    <dataField name="Suma de VTA PZS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6855BD-6030-47E9-821D-DC35B66E5956}" name="TablaDinámica7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es ">
  <location ref="G9:I22" firstHeaderRow="0" firstDataRow="1" firstDataCol="1" rowPageCount="1" colPageCount="1"/>
  <pivotFields count="5">
    <pivotField axis="axisPage" showAll="0">
      <items count="18">
        <item x="0"/>
        <item x="9"/>
        <item x="10"/>
        <item x="11"/>
        <item x="12"/>
        <item x="13"/>
        <item x="14"/>
        <item x="15"/>
        <item x="16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3" showAll="0"/>
    <pivotField dataField="1" numFmtId="3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a de INV PZS" fld="3" baseField="0" baseItem="0" numFmtId="3"/>
    <dataField name="Suma de VTA PZS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B15F37-98A0-4B7B-8CC1-BC88AB6AF376}" name="TablaDinámica15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Unidad de Negocio">
  <location ref="G30:K45" firstHeaderRow="1" firstDataRow="3" firstDataCol="1"/>
  <pivotFields count="6">
    <pivotField showAll="0"/>
    <pivotField axis="axisCol" showAll="0">
      <items count="6">
        <item h="1" x="4"/>
        <item x="0"/>
        <item h="1" x="1"/>
        <item h="1" x="2"/>
        <item h="1"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3" showAll="0"/>
    <pivotField dataField="1" numFmtId="3" showAll="0"/>
    <pivotField numFmtId="3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1"/>
    <field x="-2"/>
  </colFields>
  <colItems count="4">
    <i>
      <x v="1"/>
      <x/>
    </i>
    <i r="1" i="1">
      <x v="1"/>
    </i>
    <i t="grand">
      <x/>
    </i>
    <i t="grand" i="1">
      <x/>
    </i>
  </colItems>
  <dataFields count="2">
    <dataField name="Suma de INV PZS" fld="3" baseField="0" baseItem="0" numFmtId="3"/>
    <dataField name="Suma de VTA PZS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4C31C4-3EE2-4BBA-A394-E9086D1B8658}" name="TablaDinámica8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es del año 2024">
  <location ref="G8:I21" firstHeaderRow="0" firstDataRow="1" firstDataCol="1" rowPageCount="1" colPageCount="1"/>
  <pivotFields count="6">
    <pivotField axis="axisPage" showAll="0">
      <items count="18">
        <item x="0"/>
        <item x="9"/>
        <item x="10"/>
        <item x="11"/>
        <item x="12"/>
        <item x="13"/>
        <item x="14"/>
        <item x="15"/>
        <item x="16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3" showAll="0"/>
    <pivotField dataField="1" numFmtId="3" showAll="0"/>
    <pivotField numFmtId="3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a de INV PZS" fld="3" baseField="0" baseItem="0" numFmtId="3"/>
    <dataField name="Suma de VTA PZS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866C67-4D53-4B2C-B236-E15D6CFD3FCF}" name="TablaDinámica13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Unidad de negocio">
  <location ref="G23:K31" firstHeaderRow="1" firstDataRow="3" firstDataCol="1"/>
  <pivotFields count="6">
    <pivotField showAll="0"/>
    <pivotField axis="axisCol" showAll="0">
      <items count="6">
        <item h="1" x="4"/>
        <item h="1" x="0"/>
        <item h="1" x="1"/>
        <item x="2"/>
        <item h="1" x="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numFmtId="3" showAll="0"/>
    <pivotField dataField="1" numFmtId="3" showAll="0"/>
    <pivotField numFmtId="3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"/>
    <field x="-2"/>
  </colFields>
  <colItems count="4">
    <i>
      <x v="3"/>
      <x/>
    </i>
    <i r="1" i="1">
      <x v="1"/>
    </i>
    <i t="grand">
      <x/>
    </i>
    <i t="grand" i="1">
      <x/>
    </i>
  </colItems>
  <dataFields count="2">
    <dataField name="Suma de INV PZS" fld="3" baseField="0" baseItem="0" numFmtId="3"/>
    <dataField name="Suma de VTA PZS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E79BE-14F7-4BA7-9603-EF5D2FE0D8B4}" name="TablaDinámica6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es del año 2025">
  <location ref="G8:I14" firstHeaderRow="0" firstDataRow="1" firstDataCol="1" rowPageCount="1" colPageCount="1"/>
  <pivotFields count="6">
    <pivotField axis="axisPage" showAll="0">
      <items count="18">
        <item x="0"/>
        <item x="9"/>
        <item x="10"/>
        <item x="11"/>
        <item x="12"/>
        <item x="13"/>
        <item x="14"/>
        <item x="15"/>
        <item x="16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numFmtId="3" showAll="0"/>
    <pivotField dataField="1" numFmtId="3" showAll="0"/>
    <pivotField numFmtId="3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a de INV PZS" fld="3" baseField="0" baseItem="0" numFmtId="3"/>
    <dataField name="Suma de VTA PZS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6FDE-419E-4896-859D-BB0ED01514C5}">
  <dimension ref="A1:P1023"/>
  <sheetViews>
    <sheetView showGridLines="0" topLeftCell="C4" workbookViewId="0">
      <selection activeCell="G31" sqref="G31"/>
    </sheetView>
  </sheetViews>
  <sheetFormatPr baseColWidth="10" defaultRowHeight="14.4" x14ac:dyDescent="0.3"/>
  <cols>
    <col min="1" max="1" width="16" customWidth="1"/>
    <col min="2" max="2" width="23.5546875" bestFit="1" customWidth="1"/>
    <col min="7" max="7" width="11.5546875" bestFit="1" customWidth="1"/>
    <col min="8" max="8" width="15.109375" bestFit="1" customWidth="1"/>
    <col min="9" max="9" width="15.21875" bestFit="1" customWidth="1"/>
    <col min="10" max="10" width="19.6640625" bestFit="1" customWidth="1"/>
    <col min="11" max="11" width="19.77734375" bestFit="1" customWidth="1"/>
    <col min="12" max="12" width="21.88671875" bestFit="1" customWidth="1"/>
    <col min="13" max="13" width="15.21875" bestFit="1" customWidth="1"/>
    <col min="14" max="14" width="15.109375" bestFit="1" customWidth="1"/>
    <col min="15" max="15" width="15.21875" bestFit="1" customWidth="1"/>
    <col min="16" max="16" width="18.44140625" bestFit="1" customWidth="1"/>
    <col min="17" max="17" width="15.21875" bestFit="1" customWidth="1"/>
    <col min="18" max="18" width="19.6640625" bestFit="1" customWidth="1"/>
    <col min="19" max="19" width="19.77734375" bestFit="1" customWidth="1"/>
  </cols>
  <sheetData>
    <row r="1" spans="1:16" x14ac:dyDescent="0.3">
      <c r="A1" s="16" t="s">
        <v>41</v>
      </c>
      <c r="B1" s="16"/>
      <c r="C1" s="16"/>
      <c r="D1" s="16"/>
      <c r="E1" s="16"/>
    </row>
    <row r="3" spans="1:16" x14ac:dyDescent="0.3">
      <c r="A3" s="1" t="s">
        <v>0</v>
      </c>
      <c r="B3" s="1" t="s">
        <v>33</v>
      </c>
      <c r="C3" s="1" t="s">
        <v>1</v>
      </c>
      <c r="D3" s="1" t="s">
        <v>15</v>
      </c>
      <c r="E3" s="1" t="s">
        <v>14</v>
      </c>
    </row>
    <row r="4" spans="1:16" x14ac:dyDescent="0.3">
      <c r="A4" s="2" t="s">
        <v>16</v>
      </c>
      <c r="B4" s="3" t="s">
        <v>37</v>
      </c>
      <c r="C4" s="3" t="s">
        <v>2</v>
      </c>
      <c r="D4" s="4">
        <v>41626</v>
      </c>
      <c r="E4" s="4">
        <v>14219</v>
      </c>
      <c r="G4" s="6"/>
    </row>
    <row r="5" spans="1:16" x14ac:dyDescent="0.3">
      <c r="A5" s="2" t="s">
        <v>16</v>
      </c>
      <c r="B5" s="3" t="s">
        <v>37</v>
      </c>
      <c r="C5" s="3" t="s">
        <v>3</v>
      </c>
      <c r="D5" s="4">
        <v>41170</v>
      </c>
      <c r="E5" s="4">
        <v>15487</v>
      </c>
      <c r="G5" s="6" t="s">
        <v>63</v>
      </c>
    </row>
    <row r="6" spans="1:16" x14ac:dyDescent="0.3">
      <c r="A6" s="2" t="s">
        <v>16</v>
      </c>
      <c r="B6" s="3" t="s">
        <v>37</v>
      </c>
      <c r="C6" s="3" t="s">
        <v>4</v>
      </c>
      <c r="D6" s="4">
        <v>45581</v>
      </c>
      <c r="E6" s="4">
        <v>20227</v>
      </c>
    </row>
    <row r="7" spans="1:16" x14ac:dyDescent="0.3">
      <c r="A7" s="2" t="s">
        <v>16</v>
      </c>
      <c r="B7" s="3" t="s">
        <v>37</v>
      </c>
      <c r="C7" s="3" t="s">
        <v>5</v>
      </c>
      <c r="D7" s="4">
        <v>48441</v>
      </c>
      <c r="E7" s="4">
        <v>16917</v>
      </c>
      <c r="G7" s="8" t="s">
        <v>0</v>
      </c>
      <c r="H7" t="s">
        <v>52</v>
      </c>
    </row>
    <row r="8" spans="1:16" x14ac:dyDescent="0.3">
      <c r="A8" s="2" t="s">
        <v>16</v>
      </c>
      <c r="B8" s="3" t="s">
        <v>37</v>
      </c>
      <c r="C8" s="3" t="s">
        <v>6</v>
      </c>
      <c r="D8" s="4">
        <v>49411</v>
      </c>
      <c r="E8" s="4">
        <v>18558</v>
      </c>
    </row>
    <row r="9" spans="1:16" x14ac:dyDescent="0.3">
      <c r="A9" s="2" t="s">
        <v>16</v>
      </c>
      <c r="B9" s="3" t="s">
        <v>37</v>
      </c>
      <c r="C9" s="3" t="s">
        <v>7</v>
      </c>
      <c r="D9" s="4">
        <v>52773</v>
      </c>
      <c r="E9" s="4">
        <v>18855</v>
      </c>
      <c r="G9" s="8" t="s">
        <v>62</v>
      </c>
      <c r="H9" t="s">
        <v>43</v>
      </c>
      <c r="I9" t="s">
        <v>44</v>
      </c>
      <c r="J9" s="10" t="s">
        <v>45</v>
      </c>
      <c r="K9" s="10" t="s">
        <v>46</v>
      </c>
      <c r="P9" s="6"/>
    </row>
    <row r="10" spans="1:16" x14ac:dyDescent="0.3">
      <c r="A10" s="2" t="s">
        <v>16</v>
      </c>
      <c r="B10" s="3" t="s">
        <v>37</v>
      </c>
      <c r="C10" s="3" t="s">
        <v>8</v>
      </c>
      <c r="D10" s="4">
        <v>52058</v>
      </c>
      <c r="E10" s="4">
        <v>16389</v>
      </c>
      <c r="G10" s="5" t="s">
        <v>2</v>
      </c>
      <c r="H10" s="7">
        <v>5451178</v>
      </c>
      <c r="I10" s="7">
        <v>2250416</v>
      </c>
    </row>
    <row r="11" spans="1:16" x14ac:dyDescent="0.3">
      <c r="A11" s="2" t="s">
        <v>16</v>
      </c>
      <c r="B11" s="3" t="s">
        <v>37</v>
      </c>
      <c r="C11" s="3" t="s">
        <v>9</v>
      </c>
      <c r="D11" s="4">
        <v>53236</v>
      </c>
      <c r="E11" s="4">
        <v>19347</v>
      </c>
      <c r="G11" s="5" t="s">
        <v>3</v>
      </c>
      <c r="H11" s="7">
        <v>5749524</v>
      </c>
      <c r="I11" s="7">
        <v>2240137</v>
      </c>
      <c r="J11">
        <f>(H10+H11)/2</f>
        <v>5600351</v>
      </c>
      <c r="K11">
        <f>I11/J11</f>
        <v>0.39999939289519532</v>
      </c>
    </row>
    <row r="12" spans="1:16" x14ac:dyDescent="0.3">
      <c r="A12" s="2" t="s">
        <v>16</v>
      </c>
      <c r="B12" s="3" t="s">
        <v>37</v>
      </c>
      <c r="C12" s="3" t="s">
        <v>10</v>
      </c>
      <c r="D12" s="4">
        <v>54530</v>
      </c>
      <c r="E12" s="4">
        <v>16528</v>
      </c>
      <c r="G12" s="5" t="s">
        <v>4</v>
      </c>
      <c r="H12" s="7">
        <v>6836696</v>
      </c>
      <c r="I12" s="7">
        <v>2955332</v>
      </c>
      <c r="J12">
        <f t="shared" ref="J12:J22" si="0">(H11+H12)/2</f>
        <v>6293110</v>
      </c>
      <c r="K12">
        <f t="shared" ref="K12:K22" si="1">I12/J12</f>
        <v>0.4696139110868871</v>
      </c>
    </row>
    <row r="13" spans="1:16" x14ac:dyDescent="0.3">
      <c r="A13" s="2" t="s">
        <v>16</v>
      </c>
      <c r="B13" s="3" t="s">
        <v>37</v>
      </c>
      <c r="C13" s="3" t="s">
        <v>11</v>
      </c>
      <c r="D13" s="4">
        <v>50726</v>
      </c>
      <c r="E13" s="4">
        <v>15928</v>
      </c>
      <c r="G13" s="5" t="s">
        <v>5</v>
      </c>
      <c r="H13" s="7">
        <v>7896157</v>
      </c>
      <c r="I13" s="7">
        <v>2706007</v>
      </c>
      <c r="J13">
        <f t="shared" si="0"/>
        <v>7366426.5</v>
      </c>
      <c r="K13">
        <f t="shared" si="1"/>
        <v>0.36734324302292298</v>
      </c>
    </row>
    <row r="14" spans="1:16" x14ac:dyDescent="0.3">
      <c r="A14" s="2" t="s">
        <v>16</v>
      </c>
      <c r="B14" s="3" t="s">
        <v>37</v>
      </c>
      <c r="C14" s="3" t="s">
        <v>12</v>
      </c>
      <c r="D14" s="4">
        <v>53140</v>
      </c>
      <c r="E14" s="4">
        <v>16551</v>
      </c>
      <c r="G14" s="5" t="s">
        <v>6</v>
      </c>
      <c r="H14" s="7">
        <v>7404456</v>
      </c>
      <c r="I14" s="7">
        <v>2776769</v>
      </c>
      <c r="J14">
        <f t="shared" si="0"/>
        <v>7650306.5</v>
      </c>
      <c r="K14">
        <f t="shared" si="1"/>
        <v>0.36296179767438075</v>
      </c>
    </row>
    <row r="15" spans="1:16" x14ac:dyDescent="0.3">
      <c r="A15" s="2" t="s">
        <v>16</v>
      </c>
      <c r="B15" s="3" t="s">
        <v>37</v>
      </c>
      <c r="C15" s="3" t="s">
        <v>13</v>
      </c>
      <c r="D15" s="4">
        <v>59999</v>
      </c>
      <c r="E15" s="4">
        <v>29458</v>
      </c>
      <c r="G15" s="5" t="s">
        <v>7</v>
      </c>
      <c r="H15" s="7">
        <v>7186856</v>
      </c>
      <c r="I15" s="7">
        <v>2592744</v>
      </c>
      <c r="J15">
        <f t="shared" si="0"/>
        <v>7295656</v>
      </c>
      <c r="K15">
        <f t="shared" si="1"/>
        <v>0.3553818875232056</v>
      </c>
    </row>
    <row r="16" spans="1:16" x14ac:dyDescent="0.3">
      <c r="A16" s="2" t="s">
        <v>16</v>
      </c>
      <c r="B16" s="3" t="s">
        <v>38</v>
      </c>
      <c r="C16" s="3" t="s">
        <v>2</v>
      </c>
      <c r="D16" s="4">
        <v>51585</v>
      </c>
      <c r="E16" s="4">
        <v>13492</v>
      </c>
      <c r="G16" s="5" t="s">
        <v>8</v>
      </c>
      <c r="H16" s="7">
        <v>6948976</v>
      </c>
      <c r="I16" s="7">
        <v>2777207</v>
      </c>
      <c r="J16">
        <f t="shared" si="0"/>
        <v>7067916</v>
      </c>
      <c r="K16">
        <f t="shared" si="1"/>
        <v>0.39293152323825015</v>
      </c>
    </row>
    <row r="17" spans="1:11" x14ac:dyDescent="0.3">
      <c r="A17" s="2" t="s">
        <v>16</v>
      </c>
      <c r="B17" s="3" t="s">
        <v>38</v>
      </c>
      <c r="C17" s="3" t="s">
        <v>3</v>
      </c>
      <c r="D17" s="4">
        <v>56682</v>
      </c>
      <c r="E17" s="4">
        <v>17143</v>
      </c>
      <c r="G17" s="5" t="s">
        <v>9</v>
      </c>
      <c r="H17" s="7">
        <v>6904740</v>
      </c>
      <c r="I17" s="7">
        <v>3327934</v>
      </c>
      <c r="J17">
        <f t="shared" si="0"/>
        <v>6926858</v>
      </c>
      <c r="K17">
        <f t="shared" si="1"/>
        <v>0.48043918324873991</v>
      </c>
    </row>
    <row r="18" spans="1:11" x14ac:dyDescent="0.3">
      <c r="A18" s="2" t="s">
        <v>16</v>
      </c>
      <c r="B18" s="3" t="s">
        <v>38</v>
      </c>
      <c r="C18" s="3" t="s">
        <v>4</v>
      </c>
      <c r="D18" s="4">
        <v>60841</v>
      </c>
      <c r="E18" s="4">
        <v>25312</v>
      </c>
      <c r="G18" s="5" t="s">
        <v>10</v>
      </c>
      <c r="H18" s="7">
        <v>7650091</v>
      </c>
      <c r="I18" s="7">
        <v>2545836</v>
      </c>
      <c r="J18">
        <f t="shared" si="0"/>
        <v>7277415.5</v>
      </c>
      <c r="K18">
        <f t="shared" si="1"/>
        <v>0.34982694062198316</v>
      </c>
    </row>
    <row r="19" spans="1:11" x14ac:dyDescent="0.3">
      <c r="A19" s="2" t="s">
        <v>16</v>
      </c>
      <c r="B19" s="3" t="s">
        <v>38</v>
      </c>
      <c r="C19" s="3" t="s">
        <v>5</v>
      </c>
      <c r="D19" s="4">
        <v>57732</v>
      </c>
      <c r="E19" s="4">
        <v>22827</v>
      </c>
      <c r="G19" s="5" t="s">
        <v>11</v>
      </c>
      <c r="H19" s="7">
        <v>7865930</v>
      </c>
      <c r="I19" s="7">
        <v>2814686</v>
      </c>
      <c r="J19">
        <f t="shared" si="0"/>
        <v>7758010.5</v>
      </c>
      <c r="K19">
        <f t="shared" si="1"/>
        <v>0.36281028493065332</v>
      </c>
    </row>
    <row r="20" spans="1:11" x14ac:dyDescent="0.3">
      <c r="A20" s="2" t="s">
        <v>16</v>
      </c>
      <c r="B20" s="3" t="s">
        <v>38</v>
      </c>
      <c r="C20" s="3" t="s">
        <v>6</v>
      </c>
      <c r="D20" s="4">
        <v>57827</v>
      </c>
      <c r="E20" s="4">
        <v>21471</v>
      </c>
      <c r="G20" s="5" t="s">
        <v>12</v>
      </c>
      <c r="H20" s="7">
        <v>7678250</v>
      </c>
      <c r="I20" s="7">
        <v>3304856</v>
      </c>
      <c r="J20">
        <f t="shared" si="0"/>
        <v>7772090</v>
      </c>
      <c r="K20">
        <f t="shared" si="1"/>
        <v>0.42522101519668454</v>
      </c>
    </row>
    <row r="21" spans="1:11" x14ac:dyDescent="0.3">
      <c r="A21" s="2" t="s">
        <v>16</v>
      </c>
      <c r="B21" s="3" t="s">
        <v>38</v>
      </c>
      <c r="C21" s="3" t="s">
        <v>7</v>
      </c>
      <c r="D21" s="4">
        <v>56275</v>
      </c>
      <c r="E21" s="4">
        <v>17259</v>
      </c>
      <c r="G21" s="5" t="s">
        <v>13</v>
      </c>
      <c r="H21" s="7">
        <v>7838353</v>
      </c>
      <c r="I21" s="7">
        <v>5592175</v>
      </c>
      <c r="J21">
        <f t="shared" si="0"/>
        <v>7758301.5</v>
      </c>
      <c r="K21">
        <f t="shared" si="1"/>
        <v>0.7207988758879762</v>
      </c>
    </row>
    <row r="22" spans="1:11" x14ac:dyDescent="0.3">
      <c r="A22" s="2" t="s">
        <v>16</v>
      </c>
      <c r="B22" s="3" t="s">
        <v>38</v>
      </c>
      <c r="C22" s="3" t="s">
        <v>8</v>
      </c>
      <c r="D22" s="4">
        <v>54881</v>
      </c>
      <c r="E22" s="4">
        <v>17728</v>
      </c>
      <c r="G22" s="5" t="s">
        <v>42</v>
      </c>
      <c r="H22" s="7">
        <v>85411207</v>
      </c>
      <c r="I22" s="7">
        <v>35884099</v>
      </c>
      <c r="J22" s="10">
        <f t="shared" si="0"/>
        <v>46624780</v>
      </c>
      <c r="K22" s="10">
        <f t="shared" si="1"/>
        <v>0.76963578165945234</v>
      </c>
    </row>
    <row r="23" spans="1:11" x14ac:dyDescent="0.3">
      <c r="A23" s="2" t="s">
        <v>16</v>
      </c>
      <c r="B23" s="3" t="s">
        <v>38</v>
      </c>
      <c r="C23" s="3" t="s">
        <v>9</v>
      </c>
      <c r="D23" s="4">
        <v>61286</v>
      </c>
      <c r="E23" s="4">
        <v>21893</v>
      </c>
      <c r="G23" s="13" t="s">
        <v>47</v>
      </c>
      <c r="H23" s="9"/>
      <c r="I23" s="9"/>
      <c r="J23" s="10"/>
      <c r="K23" s="10">
        <f>SUM(K11:K21)</f>
        <v>4.6873280553268781</v>
      </c>
    </row>
    <row r="24" spans="1:11" x14ac:dyDescent="0.3">
      <c r="A24" s="2" t="s">
        <v>16</v>
      </c>
      <c r="B24" s="3" t="s">
        <v>38</v>
      </c>
      <c r="C24" s="3" t="s">
        <v>10</v>
      </c>
      <c r="D24" s="4">
        <v>57797</v>
      </c>
      <c r="E24" s="4">
        <v>15409</v>
      </c>
      <c r="G24" s="14" t="s">
        <v>48</v>
      </c>
      <c r="H24" s="11"/>
      <c r="I24" s="15">
        <f>AVERAGE(I10:I21)</f>
        <v>2990341.5833333335</v>
      </c>
    </row>
    <row r="25" spans="1:11" x14ac:dyDescent="0.3">
      <c r="A25" s="2" t="s">
        <v>16</v>
      </c>
      <c r="B25" s="3" t="s">
        <v>38</v>
      </c>
      <c r="C25" s="3" t="s">
        <v>11</v>
      </c>
      <c r="D25" s="4">
        <v>59379</v>
      </c>
      <c r="E25" s="4">
        <v>18440</v>
      </c>
      <c r="G25" s="12" t="s">
        <v>50</v>
      </c>
      <c r="H25" s="11"/>
      <c r="I25" s="12">
        <f>GETPIVOTDATA("Suma de VTA PZS",$G$9,"MES","Diciembre")/I24</f>
        <v>1.8700790007295431</v>
      </c>
    </row>
    <row r="26" spans="1:11" x14ac:dyDescent="0.3">
      <c r="A26" s="2" t="s">
        <v>16</v>
      </c>
      <c r="B26" s="3" t="s">
        <v>38</v>
      </c>
      <c r="C26" s="3" t="s">
        <v>12</v>
      </c>
      <c r="D26" s="4">
        <v>60634</v>
      </c>
      <c r="E26" s="4">
        <v>23630</v>
      </c>
      <c r="G26" s="12" t="s">
        <v>49</v>
      </c>
      <c r="H26" s="11"/>
      <c r="I26" s="12">
        <f>I25*12</f>
        <v>22.440948008754518</v>
      </c>
    </row>
    <row r="27" spans="1:11" x14ac:dyDescent="0.3">
      <c r="A27" s="2" t="s">
        <v>16</v>
      </c>
      <c r="B27" s="3" t="s">
        <v>38</v>
      </c>
      <c r="C27" s="3" t="s">
        <v>13</v>
      </c>
      <c r="D27" s="4">
        <v>62082</v>
      </c>
      <c r="E27" s="4">
        <v>38160</v>
      </c>
      <c r="G27" s="12" t="s">
        <v>56</v>
      </c>
      <c r="H27" s="11"/>
      <c r="I27" s="12">
        <f>I26*30</f>
        <v>673.22844026263556</v>
      </c>
    </row>
    <row r="28" spans="1:11" x14ac:dyDescent="0.3">
      <c r="A28" s="2" t="s">
        <v>16</v>
      </c>
      <c r="B28" s="3" t="s">
        <v>36</v>
      </c>
      <c r="C28" s="3" t="s">
        <v>2</v>
      </c>
      <c r="D28" s="4">
        <v>23592</v>
      </c>
      <c r="E28" s="4">
        <v>6626</v>
      </c>
    </row>
    <row r="29" spans="1:11" x14ac:dyDescent="0.3">
      <c r="A29" s="2" t="s">
        <v>16</v>
      </c>
      <c r="B29" s="3" t="s">
        <v>36</v>
      </c>
      <c r="C29" s="3" t="s">
        <v>3</v>
      </c>
      <c r="D29" s="4">
        <v>23776</v>
      </c>
      <c r="E29" s="4">
        <v>6062</v>
      </c>
    </row>
    <row r="30" spans="1:11" x14ac:dyDescent="0.3">
      <c r="A30" s="2" t="s">
        <v>16</v>
      </c>
      <c r="B30" s="3" t="s">
        <v>36</v>
      </c>
      <c r="C30" s="3" t="s">
        <v>4</v>
      </c>
      <c r="D30" s="4">
        <v>25962</v>
      </c>
      <c r="E30" s="4">
        <v>7411</v>
      </c>
      <c r="G30" s="6" t="s">
        <v>64</v>
      </c>
    </row>
    <row r="31" spans="1:11" x14ac:dyDescent="0.3">
      <c r="A31" s="2" t="s">
        <v>16</v>
      </c>
      <c r="B31" s="3" t="s">
        <v>36</v>
      </c>
      <c r="C31" s="3" t="s">
        <v>5</v>
      </c>
      <c r="D31" s="4">
        <v>27031</v>
      </c>
      <c r="E31" s="4">
        <v>7380</v>
      </c>
    </row>
    <row r="32" spans="1:11" x14ac:dyDescent="0.3">
      <c r="A32" s="2" t="s">
        <v>16</v>
      </c>
      <c r="B32" s="3" t="s">
        <v>36</v>
      </c>
      <c r="C32" s="3" t="s">
        <v>6</v>
      </c>
      <c r="D32" s="4">
        <v>27271</v>
      </c>
      <c r="E32" s="4">
        <v>7246</v>
      </c>
      <c r="H32" s="8" t="s">
        <v>60</v>
      </c>
    </row>
    <row r="33" spans="1:13" x14ac:dyDescent="0.3">
      <c r="A33" s="2" t="s">
        <v>16</v>
      </c>
      <c r="B33" s="3" t="s">
        <v>36</v>
      </c>
      <c r="C33" s="3" t="s">
        <v>7</v>
      </c>
      <c r="D33" s="4">
        <v>25556</v>
      </c>
      <c r="E33" s="4">
        <v>7166</v>
      </c>
      <c r="H33" t="s">
        <v>34</v>
      </c>
      <c r="J33" t="s">
        <v>58</v>
      </c>
      <c r="K33" t="s">
        <v>57</v>
      </c>
      <c r="L33" s="10" t="s">
        <v>45</v>
      </c>
      <c r="M33" s="10" t="s">
        <v>59</v>
      </c>
    </row>
    <row r="34" spans="1:13" x14ac:dyDescent="0.3">
      <c r="A34" s="2" t="s">
        <v>16</v>
      </c>
      <c r="B34" s="3" t="s">
        <v>36</v>
      </c>
      <c r="C34" s="3" t="s">
        <v>8</v>
      </c>
      <c r="D34" s="4">
        <v>23987</v>
      </c>
      <c r="E34" s="4">
        <v>7587</v>
      </c>
      <c r="G34" s="8" t="s">
        <v>55</v>
      </c>
      <c r="H34" t="s">
        <v>43</v>
      </c>
      <c r="I34" t="s">
        <v>44</v>
      </c>
    </row>
    <row r="35" spans="1:13" x14ac:dyDescent="0.3">
      <c r="A35" s="2" t="s">
        <v>16</v>
      </c>
      <c r="B35" s="3" t="s">
        <v>36</v>
      </c>
      <c r="C35" s="3" t="s">
        <v>9</v>
      </c>
      <c r="D35" s="4">
        <v>22862</v>
      </c>
      <c r="E35" s="4">
        <v>7730</v>
      </c>
      <c r="G35" s="5" t="s">
        <v>2</v>
      </c>
      <c r="H35" s="7">
        <v>52913</v>
      </c>
      <c r="I35" s="7">
        <v>7423</v>
      </c>
      <c r="J35" s="7">
        <v>52913</v>
      </c>
      <c r="K35" s="7">
        <v>7423</v>
      </c>
    </row>
    <row r="36" spans="1:13" x14ac:dyDescent="0.3">
      <c r="A36" s="2" t="s">
        <v>16</v>
      </c>
      <c r="B36" s="3" t="s">
        <v>36</v>
      </c>
      <c r="C36" s="3" t="s">
        <v>10</v>
      </c>
      <c r="D36" s="4">
        <v>22012</v>
      </c>
      <c r="E36" s="4">
        <v>6210</v>
      </c>
      <c r="G36" s="5" t="s">
        <v>3</v>
      </c>
      <c r="H36" s="7">
        <v>54543</v>
      </c>
      <c r="I36" s="7">
        <v>7107</v>
      </c>
      <c r="J36" s="7">
        <v>54543</v>
      </c>
      <c r="K36" s="7">
        <v>7107</v>
      </c>
      <c r="L36">
        <f>(H35+H36)/2</f>
        <v>53728</v>
      </c>
      <c r="M36">
        <f>I36/L36</f>
        <v>0.13227739726027396</v>
      </c>
    </row>
    <row r="37" spans="1:13" x14ac:dyDescent="0.3">
      <c r="A37" s="2" t="s">
        <v>16</v>
      </c>
      <c r="B37" s="3" t="s">
        <v>36</v>
      </c>
      <c r="C37" s="3" t="s">
        <v>11</v>
      </c>
      <c r="D37" s="4">
        <v>22726</v>
      </c>
      <c r="E37" s="4">
        <v>7279</v>
      </c>
      <c r="G37" s="5" t="s">
        <v>4</v>
      </c>
      <c r="H37" s="7">
        <v>57601</v>
      </c>
      <c r="I37" s="7">
        <v>6960</v>
      </c>
      <c r="J37" s="7">
        <v>57601</v>
      </c>
      <c r="K37" s="7">
        <v>6960</v>
      </c>
      <c r="L37">
        <f t="shared" ref="L37:L40" si="2">(H36+H37)/2</f>
        <v>56072</v>
      </c>
      <c r="M37">
        <f t="shared" ref="M37:M47" si="3">I37/L37</f>
        <v>0.12412612355542874</v>
      </c>
    </row>
    <row r="38" spans="1:13" x14ac:dyDescent="0.3">
      <c r="A38" s="2" t="s">
        <v>16</v>
      </c>
      <c r="B38" s="3" t="s">
        <v>36</v>
      </c>
      <c r="C38" s="3" t="s">
        <v>12</v>
      </c>
      <c r="D38" s="4">
        <v>28909</v>
      </c>
      <c r="E38" s="4">
        <v>8309</v>
      </c>
      <c r="G38" s="5" t="s">
        <v>5</v>
      </c>
      <c r="H38" s="7">
        <v>57090</v>
      </c>
      <c r="I38" s="7">
        <v>7202</v>
      </c>
      <c r="J38" s="7">
        <v>57090</v>
      </c>
      <c r="K38" s="7">
        <v>7202</v>
      </c>
      <c r="L38">
        <f t="shared" si="2"/>
        <v>57345.5</v>
      </c>
      <c r="M38">
        <f t="shared" si="3"/>
        <v>0.1255896277824764</v>
      </c>
    </row>
    <row r="39" spans="1:13" x14ac:dyDescent="0.3">
      <c r="A39" s="2" t="s">
        <v>16</v>
      </c>
      <c r="B39" s="3" t="s">
        <v>36</v>
      </c>
      <c r="C39" s="3" t="s">
        <v>13</v>
      </c>
      <c r="D39" s="4">
        <v>26973</v>
      </c>
      <c r="E39" s="4">
        <v>16410</v>
      </c>
      <c r="G39" s="5" t="s">
        <v>6</v>
      </c>
      <c r="H39" s="7">
        <v>51010</v>
      </c>
      <c r="I39" s="7">
        <v>11359</v>
      </c>
      <c r="J39" s="7">
        <v>51010</v>
      </c>
      <c r="K39" s="7">
        <v>11359</v>
      </c>
      <c r="L39">
        <f>(H38+H39)/2</f>
        <v>54050</v>
      </c>
      <c r="M39">
        <f t="shared" si="3"/>
        <v>0.21015726179463459</v>
      </c>
    </row>
    <row r="40" spans="1:13" x14ac:dyDescent="0.3">
      <c r="A40" s="2" t="s">
        <v>16</v>
      </c>
      <c r="B40" s="3" t="s">
        <v>35</v>
      </c>
      <c r="C40" s="3" t="s">
        <v>2</v>
      </c>
      <c r="D40" s="4">
        <v>63003</v>
      </c>
      <c r="E40" s="4">
        <v>22099</v>
      </c>
      <c r="G40" s="5" t="s">
        <v>7</v>
      </c>
      <c r="H40" s="7">
        <v>206996</v>
      </c>
      <c r="I40" s="7">
        <v>31362</v>
      </c>
      <c r="J40" s="7">
        <v>206996</v>
      </c>
      <c r="K40" s="7">
        <v>31362</v>
      </c>
      <c r="L40">
        <f t="shared" ref="L40:L47" si="4">(H39+H40)/2</f>
        <v>129003</v>
      </c>
      <c r="M40">
        <f t="shared" si="3"/>
        <v>0.24311062533429456</v>
      </c>
    </row>
    <row r="41" spans="1:13" x14ac:dyDescent="0.3">
      <c r="A41" s="2" t="s">
        <v>16</v>
      </c>
      <c r="B41" s="3" t="s">
        <v>35</v>
      </c>
      <c r="C41" s="3" t="s">
        <v>3</v>
      </c>
      <c r="D41" s="4">
        <v>60988</v>
      </c>
      <c r="E41" s="4">
        <v>16659</v>
      </c>
      <c r="G41" s="5" t="s">
        <v>8</v>
      </c>
      <c r="H41" s="7">
        <v>276826</v>
      </c>
      <c r="I41" s="7">
        <v>82296</v>
      </c>
      <c r="J41" s="7">
        <v>276826</v>
      </c>
      <c r="K41" s="7">
        <v>82296</v>
      </c>
      <c r="L41">
        <f t="shared" si="4"/>
        <v>241911</v>
      </c>
      <c r="M41">
        <f t="shared" si="3"/>
        <v>0.34019122735220803</v>
      </c>
    </row>
    <row r="42" spans="1:13" x14ac:dyDescent="0.3">
      <c r="A42" s="2" t="s">
        <v>16</v>
      </c>
      <c r="B42" s="3" t="s">
        <v>35</v>
      </c>
      <c r="C42" s="3" t="s">
        <v>4</v>
      </c>
      <c r="D42" s="4">
        <v>69833</v>
      </c>
      <c r="E42" s="4">
        <v>24007</v>
      </c>
      <c r="G42" s="5" t="s">
        <v>9</v>
      </c>
      <c r="H42" s="7">
        <v>233185</v>
      </c>
      <c r="I42" s="7">
        <v>157092</v>
      </c>
      <c r="J42" s="7">
        <v>233185</v>
      </c>
      <c r="K42" s="7">
        <v>157092</v>
      </c>
      <c r="L42">
        <f t="shared" si="4"/>
        <v>255005.5</v>
      </c>
      <c r="M42">
        <f t="shared" si="3"/>
        <v>0.61603377182060781</v>
      </c>
    </row>
    <row r="43" spans="1:13" x14ac:dyDescent="0.3">
      <c r="A43" s="2" t="s">
        <v>16</v>
      </c>
      <c r="B43" s="3" t="s">
        <v>35</v>
      </c>
      <c r="C43" s="3" t="s">
        <v>5</v>
      </c>
      <c r="D43" s="4">
        <v>96125</v>
      </c>
      <c r="E43" s="4">
        <v>25448</v>
      </c>
      <c r="G43" s="5" t="s">
        <v>10</v>
      </c>
      <c r="H43" s="7">
        <v>97229</v>
      </c>
      <c r="I43" s="7">
        <v>23767</v>
      </c>
      <c r="J43" s="7">
        <v>97229</v>
      </c>
      <c r="K43" s="7">
        <v>23767</v>
      </c>
      <c r="L43">
        <f t="shared" si="4"/>
        <v>165207</v>
      </c>
      <c r="M43">
        <f t="shared" si="3"/>
        <v>0.14386194289588214</v>
      </c>
    </row>
    <row r="44" spans="1:13" x14ac:dyDescent="0.3">
      <c r="A44" s="2" t="s">
        <v>16</v>
      </c>
      <c r="B44" s="3" t="s">
        <v>35</v>
      </c>
      <c r="C44" s="3" t="s">
        <v>6</v>
      </c>
      <c r="D44" s="4">
        <v>91248</v>
      </c>
      <c r="E44" s="4">
        <v>21299</v>
      </c>
      <c r="G44" s="5" t="s">
        <v>11</v>
      </c>
      <c r="H44" s="7">
        <v>122694</v>
      </c>
      <c r="I44" s="7">
        <v>27428</v>
      </c>
      <c r="J44" s="7">
        <v>122694</v>
      </c>
      <c r="K44" s="7">
        <v>27428</v>
      </c>
      <c r="L44">
        <f t="shared" si="4"/>
        <v>109961.5</v>
      </c>
      <c r="M44">
        <f t="shared" si="3"/>
        <v>0.24943275601005807</v>
      </c>
    </row>
    <row r="45" spans="1:13" x14ac:dyDescent="0.3">
      <c r="A45" s="2" t="s">
        <v>16</v>
      </c>
      <c r="B45" s="3" t="s">
        <v>35</v>
      </c>
      <c r="C45" s="3" t="s">
        <v>7</v>
      </c>
      <c r="D45" s="4">
        <v>84859</v>
      </c>
      <c r="E45" s="4">
        <v>17742</v>
      </c>
      <c r="G45" s="5" t="s">
        <v>12</v>
      </c>
      <c r="H45" s="7">
        <v>111276</v>
      </c>
      <c r="I45" s="7">
        <v>32349</v>
      </c>
      <c r="J45" s="7">
        <v>111276</v>
      </c>
      <c r="K45" s="7">
        <v>32349</v>
      </c>
      <c r="L45">
        <f t="shared" si="4"/>
        <v>116985</v>
      </c>
      <c r="M45">
        <f t="shared" si="3"/>
        <v>0.27652263110655212</v>
      </c>
    </row>
    <row r="46" spans="1:13" x14ac:dyDescent="0.3">
      <c r="A46" s="2" t="s">
        <v>16</v>
      </c>
      <c r="B46" s="3" t="s">
        <v>35</v>
      </c>
      <c r="C46" s="3" t="s">
        <v>8</v>
      </c>
      <c r="D46" s="4">
        <v>76981</v>
      </c>
      <c r="E46" s="4">
        <v>18340</v>
      </c>
      <c r="G46" s="5" t="s">
        <v>13</v>
      </c>
      <c r="H46" s="7">
        <v>79042</v>
      </c>
      <c r="I46" s="7">
        <v>21842</v>
      </c>
      <c r="J46" s="7">
        <v>79042</v>
      </c>
      <c r="K46" s="7">
        <v>21842</v>
      </c>
      <c r="L46">
        <f t="shared" si="4"/>
        <v>95159</v>
      </c>
      <c r="M46">
        <f t="shared" si="3"/>
        <v>0.2295316260154058</v>
      </c>
    </row>
    <row r="47" spans="1:13" x14ac:dyDescent="0.3">
      <c r="A47" s="2" t="s">
        <v>16</v>
      </c>
      <c r="B47" s="3" t="s">
        <v>35</v>
      </c>
      <c r="C47" s="3" t="s">
        <v>9</v>
      </c>
      <c r="D47" s="4">
        <v>86753</v>
      </c>
      <c r="E47" s="4">
        <v>18183</v>
      </c>
      <c r="G47" s="5" t="s">
        <v>42</v>
      </c>
      <c r="H47" s="7">
        <v>1400405</v>
      </c>
      <c r="I47" s="7">
        <v>416187</v>
      </c>
      <c r="J47" s="7">
        <v>1400405</v>
      </c>
      <c r="K47" s="7">
        <v>416187</v>
      </c>
      <c r="L47" s="10">
        <f t="shared" si="4"/>
        <v>739723.5</v>
      </c>
      <c r="M47" s="10">
        <f>I47/L47</f>
        <v>0.56262508896905394</v>
      </c>
    </row>
    <row r="48" spans="1:13" x14ac:dyDescent="0.3">
      <c r="A48" s="2" t="s">
        <v>16</v>
      </c>
      <c r="B48" s="3" t="s">
        <v>35</v>
      </c>
      <c r="C48" s="3" t="s">
        <v>10</v>
      </c>
      <c r="D48" s="4">
        <v>109638</v>
      </c>
      <c r="E48" s="4">
        <v>19559</v>
      </c>
      <c r="G48" s="13" t="s">
        <v>51</v>
      </c>
      <c r="H48" s="10"/>
      <c r="I48" s="10"/>
      <c r="J48" s="10"/>
      <c r="K48" s="10"/>
      <c r="L48" s="10"/>
      <c r="M48" s="10">
        <f>SUM(M36:M46)</f>
        <v>2.6908349909278226</v>
      </c>
    </row>
    <row r="49" spans="1:9" x14ac:dyDescent="0.3">
      <c r="A49" s="2" t="s">
        <v>16</v>
      </c>
      <c r="B49" s="3" t="s">
        <v>35</v>
      </c>
      <c r="C49" s="3" t="s">
        <v>11</v>
      </c>
      <c r="D49" s="4">
        <v>91816</v>
      </c>
      <c r="E49" s="4">
        <v>29172</v>
      </c>
      <c r="G49" s="12" t="s">
        <v>48</v>
      </c>
      <c r="H49" s="11"/>
      <c r="I49" s="15">
        <f>AVERAGE(I35, I36, I37, I38, I39, I40, I41, I42,I43,I44,I45,I46)</f>
        <v>34682.25</v>
      </c>
    </row>
    <row r="50" spans="1:9" x14ac:dyDescent="0.3">
      <c r="A50" s="2" t="s">
        <v>16</v>
      </c>
      <c r="B50" s="3" t="s">
        <v>35</v>
      </c>
      <c r="C50" s="3" t="s">
        <v>12</v>
      </c>
      <c r="D50" s="4">
        <v>77682</v>
      </c>
      <c r="E50" s="4">
        <v>40835</v>
      </c>
      <c r="G50" s="12" t="s">
        <v>50</v>
      </c>
      <c r="H50" s="11"/>
      <c r="I50" s="12">
        <f>GETPIVOTDATA("Suma de VTA PZS",$G$8,"MES","Mayo")/I49</f>
        <v>80.063115858976857</v>
      </c>
    </row>
    <row r="51" spans="1:9" x14ac:dyDescent="0.3">
      <c r="A51" s="2" t="s">
        <v>16</v>
      </c>
      <c r="B51" s="3" t="s">
        <v>35</v>
      </c>
      <c r="C51" s="3" t="s">
        <v>13</v>
      </c>
      <c r="D51" s="4">
        <v>63072</v>
      </c>
      <c r="E51" s="4">
        <v>77194</v>
      </c>
      <c r="G51" s="12" t="s">
        <v>49</v>
      </c>
      <c r="H51" s="11"/>
      <c r="I51" s="12">
        <f>I50*12</f>
        <v>960.75739030772229</v>
      </c>
    </row>
    <row r="52" spans="1:9" x14ac:dyDescent="0.3">
      <c r="A52" s="2" t="s">
        <v>16</v>
      </c>
      <c r="B52" s="3" t="s">
        <v>34</v>
      </c>
      <c r="C52" s="3" t="s">
        <v>2</v>
      </c>
      <c r="D52" s="4">
        <v>1604</v>
      </c>
      <c r="E52" s="4">
        <v>181</v>
      </c>
      <c r="G52" s="12" t="s">
        <v>56</v>
      </c>
      <c r="H52" s="11"/>
      <c r="I52" s="12">
        <f>I51*30</f>
        <v>28822.721709231668</v>
      </c>
    </row>
    <row r="53" spans="1:9" x14ac:dyDescent="0.3">
      <c r="A53" s="2" t="s">
        <v>16</v>
      </c>
      <c r="B53" s="3" t="s">
        <v>34</v>
      </c>
      <c r="C53" s="3" t="s">
        <v>3</v>
      </c>
      <c r="D53" s="4">
        <v>1582</v>
      </c>
      <c r="E53" s="4">
        <v>192</v>
      </c>
    </row>
    <row r="54" spans="1:9" x14ac:dyDescent="0.3">
      <c r="A54" s="2" t="s">
        <v>16</v>
      </c>
      <c r="B54" s="3" t="s">
        <v>34</v>
      </c>
      <c r="C54" s="3" t="s">
        <v>4</v>
      </c>
      <c r="D54" s="4">
        <v>1753</v>
      </c>
      <c r="E54" s="4">
        <v>217</v>
      </c>
    </row>
    <row r="55" spans="1:9" x14ac:dyDescent="0.3">
      <c r="A55" s="2" t="s">
        <v>16</v>
      </c>
      <c r="B55" s="3" t="s">
        <v>34</v>
      </c>
      <c r="C55" s="3" t="s">
        <v>5</v>
      </c>
      <c r="D55" s="4">
        <v>1711</v>
      </c>
      <c r="E55" s="4">
        <v>195</v>
      </c>
    </row>
    <row r="56" spans="1:9" x14ac:dyDescent="0.3">
      <c r="A56" s="2" t="s">
        <v>16</v>
      </c>
      <c r="B56" s="3" t="s">
        <v>34</v>
      </c>
      <c r="C56" s="3" t="s">
        <v>6</v>
      </c>
      <c r="D56" s="4">
        <v>1567</v>
      </c>
      <c r="E56" s="4">
        <v>286</v>
      </c>
    </row>
    <row r="57" spans="1:9" x14ac:dyDescent="0.3">
      <c r="A57" s="2" t="s">
        <v>16</v>
      </c>
      <c r="B57" s="3" t="s">
        <v>34</v>
      </c>
      <c r="C57" s="3" t="s">
        <v>7</v>
      </c>
      <c r="D57" s="4">
        <v>4580</v>
      </c>
      <c r="E57" s="4">
        <v>476</v>
      </c>
    </row>
    <row r="58" spans="1:9" x14ac:dyDescent="0.3">
      <c r="A58" s="2" t="s">
        <v>16</v>
      </c>
      <c r="B58" s="3" t="s">
        <v>34</v>
      </c>
      <c r="C58" s="3" t="s">
        <v>8</v>
      </c>
      <c r="D58" s="4">
        <v>6239</v>
      </c>
      <c r="E58" s="4">
        <v>1774</v>
      </c>
    </row>
    <row r="59" spans="1:9" x14ac:dyDescent="0.3">
      <c r="A59" s="2" t="s">
        <v>16</v>
      </c>
      <c r="B59" s="3" t="s">
        <v>34</v>
      </c>
      <c r="C59" s="3" t="s">
        <v>9</v>
      </c>
      <c r="D59" s="4">
        <v>5165</v>
      </c>
      <c r="E59" s="4">
        <v>3094</v>
      </c>
    </row>
    <row r="60" spans="1:9" x14ac:dyDescent="0.3">
      <c r="A60" s="2" t="s">
        <v>16</v>
      </c>
      <c r="B60" s="3" t="s">
        <v>34</v>
      </c>
      <c r="C60" s="3" t="s">
        <v>10</v>
      </c>
      <c r="D60" s="4">
        <v>2609</v>
      </c>
      <c r="E60" s="4">
        <v>392</v>
      </c>
    </row>
    <row r="61" spans="1:9" x14ac:dyDescent="0.3">
      <c r="A61" s="2" t="s">
        <v>16</v>
      </c>
      <c r="B61" s="3" t="s">
        <v>34</v>
      </c>
      <c r="C61" s="3" t="s">
        <v>11</v>
      </c>
      <c r="D61" s="4">
        <v>3114</v>
      </c>
      <c r="E61" s="4">
        <v>632</v>
      </c>
    </row>
    <row r="62" spans="1:9" x14ac:dyDescent="0.3">
      <c r="A62" s="2" t="s">
        <v>16</v>
      </c>
      <c r="B62" s="3" t="s">
        <v>34</v>
      </c>
      <c r="C62" s="3" t="s">
        <v>12</v>
      </c>
      <c r="D62" s="4">
        <v>3201</v>
      </c>
      <c r="E62" s="4">
        <v>758</v>
      </c>
    </row>
    <row r="63" spans="1:9" x14ac:dyDescent="0.3">
      <c r="A63" s="2" t="s">
        <v>16</v>
      </c>
      <c r="B63" s="3" t="s">
        <v>34</v>
      </c>
      <c r="C63" s="3" t="s">
        <v>13</v>
      </c>
      <c r="D63" s="4">
        <v>2534</v>
      </c>
      <c r="E63" s="4">
        <v>688</v>
      </c>
    </row>
    <row r="64" spans="1:9" x14ac:dyDescent="0.3">
      <c r="A64" s="2" t="s">
        <v>17</v>
      </c>
      <c r="B64" s="3" t="s">
        <v>37</v>
      </c>
      <c r="C64" s="3" t="s">
        <v>2</v>
      </c>
      <c r="D64" s="4">
        <v>80302</v>
      </c>
      <c r="E64" s="4">
        <v>45134</v>
      </c>
    </row>
    <row r="65" spans="1:5" x14ac:dyDescent="0.3">
      <c r="A65" s="2" t="s">
        <v>17</v>
      </c>
      <c r="B65" s="3" t="s">
        <v>37</v>
      </c>
      <c r="C65" s="3" t="s">
        <v>3</v>
      </c>
      <c r="D65" s="4">
        <v>94549</v>
      </c>
      <c r="E65" s="4">
        <v>48475</v>
      </c>
    </row>
    <row r="66" spans="1:5" x14ac:dyDescent="0.3">
      <c r="A66" s="2" t="s">
        <v>17</v>
      </c>
      <c r="B66" s="3" t="s">
        <v>37</v>
      </c>
      <c r="C66" s="3" t="s">
        <v>4</v>
      </c>
      <c r="D66" s="4">
        <v>110452</v>
      </c>
      <c r="E66" s="4">
        <v>60746</v>
      </c>
    </row>
    <row r="67" spans="1:5" x14ac:dyDescent="0.3">
      <c r="A67" s="2" t="s">
        <v>17</v>
      </c>
      <c r="B67" s="3" t="s">
        <v>37</v>
      </c>
      <c r="C67" s="3" t="s">
        <v>5</v>
      </c>
      <c r="D67" s="4">
        <v>116246</v>
      </c>
      <c r="E67" s="4">
        <v>52858</v>
      </c>
    </row>
    <row r="68" spans="1:5" x14ac:dyDescent="0.3">
      <c r="A68" s="2" t="s">
        <v>17</v>
      </c>
      <c r="B68" s="3" t="s">
        <v>37</v>
      </c>
      <c r="C68" s="3" t="s">
        <v>6</v>
      </c>
      <c r="D68" s="4">
        <v>112882</v>
      </c>
      <c r="E68" s="4">
        <v>56832</v>
      </c>
    </row>
    <row r="69" spans="1:5" x14ac:dyDescent="0.3">
      <c r="A69" s="2" t="s">
        <v>17</v>
      </c>
      <c r="B69" s="3" t="s">
        <v>37</v>
      </c>
      <c r="C69" s="3" t="s">
        <v>7</v>
      </c>
      <c r="D69" s="4">
        <v>125674</v>
      </c>
      <c r="E69" s="4">
        <v>58022</v>
      </c>
    </row>
    <row r="70" spans="1:5" x14ac:dyDescent="0.3">
      <c r="A70" s="2" t="s">
        <v>17</v>
      </c>
      <c r="B70" s="3" t="s">
        <v>37</v>
      </c>
      <c r="C70" s="3" t="s">
        <v>8</v>
      </c>
      <c r="D70" s="4">
        <v>120046</v>
      </c>
      <c r="E70" s="4">
        <v>54204</v>
      </c>
    </row>
    <row r="71" spans="1:5" x14ac:dyDescent="0.3">
      <c r="A71" s="2" t="s">
        <v>17</v>
      </c>
      <c r="B71" s="3" t="s">
        <v>37</v>
      </c>
      <c r="C71" s="3" t="s">
        <v>9</v>
      </c>
      <c r="D71" s="4">
        <v>119590</v>
      </c>
      <c r="E71" s="4">
        <v>65669</v>
      </c>
    </row>
    <row r="72" spans="1:5" x14ac:dyDescent="0.3">
      <c r="A72" s="2" t="s">
        <v>17</v>
      </c>
      <c r="B72" s="3" t="s">
        <v>37</v>
      </c>
      <c r="C72" s="3" t="s">
        <v>10</v>
      </c>
      <c r="D72" s="4">
        <v>127275</v>
      </c>
      <c r="E72" s="4">
        <v>51273</v>
      </c>
    </row>
    <row r="73" spans="1:5" x14ac:dyDescent="0.3">
      <c r="A73" s="2" t="s">
        <v>17</v>
      </c>
      <c r="B73" s="3" t="s">
        <v>37</v>
      </c>
      <c r="C73" s="3" t="s">
        <v>11</v>
      </c>
      <c r="D73" s="4">
        <v>117849</v>
      </c>
      <c r="E73" s="4">
        <v>49406</v>
      </c>
    </row>
    <row r="74" spans="1:5" x14ac:dyDescent="0.3">
      <c r="A74" s="2" t="s">
        <v>17</v>
      </c>
      <c r="B74" s="3" t="s">
        <v>37</v>
      </c>
      <c r="C74" s="3" t="s">
        <v>12</v>
      </c>
      <c r="D74" s="4">
        <v>110949</v>
      </c>
      <c r="E74" s="4">
        <v>51460</v>
      </c>
    </row>
    <row r="75" spans="1:5" x14ac:dyDescent="0.3">
      <c r="A75" s="2" t="s">
        <v>17</v>
      </c>
      <c r="B75" s="3" t="s">
        <v>37</v>
      </c>
      <c r="C75" s="3" t="s">
        <v>13</v>
      </c>
      <c r="D75" s="4">
        <v>126722</v>
      </c>
      <c r="E75" s="4">
        <v>82590</v>
      </c>
    </row>
    <row r="76" spans="1:5" x14ac:dyDescent="0.3">
      <c r="A76" s="2" t="s">
        <v>17</v>
      </c>
      <c r="B76" s="3" t="s">
        <v>38</v>
      </c>
      <c r="C76" s="3" t="s">
        <v>2</v>
      </c>
      <c r="D76" s="4">
        <v>99397</v>
      </c>
      <c r="E76" s="4">
        <v>38755</v>
      </c>
    </row>
    <row r="77" spans="1:5" x14ac:dyDescent="0.3">
      <c r="A77" s="2" t="s">
        <v>17</v>
      </c>
      <c r="B77" s="3" t="s">
        <v>38</v>
      </c>
      <c r="C77" s="3" t="s">
        <v>3</v>
      </c>
      <c r="D77" s="4">
        <v>121695</v>
      </c>
      <c r="E77" s="4">
        <v>41470</v>
      </c>
    </row>
    <row r="78" spans="1:5" x14ac:dyDescent="0.3">
      <c r="A78" s="2" t="s">
        <v>17</v>
      </c>
      <c r="B78" s="3" t="s">
        <v>38</v>
      </c>
      <c r="C78" s="3" t="s">
        <v>4</v>
      </c>
      <c r="D78" s="4">
        <v>128630</v>
      </c>
      <c r="E78" s="4">
        <v>56286</v>
      </c>
    </row>
    <row r="79" spans="1:5" x14ac:dyDescent="0.3">
      <c r="A79" s="2" t="s">
        <v>17</v>
      </c>
      <c r="B79" s="3" t="s">
        <v>38</v>
      </c>
      <c r="C79" s="3" t="s">
        <v>5</v>
      </c>
      <c r="D79" s="4">
        <v>122660</v>
      </c>
      <c r="E79" s="4">
        <v>47894</v>
      </c>
    </row>
    <row r="80" spans="1:5" x14ac:dyDescent="0.3">
      <c r="A80" s="2" t="s">
        <v>17</v>
      </c>
      <c r="B80" s="3" t="s">
        <v>38</v>
      </c>
      <c r="C80" s="3" t="s">
        <v>6</v>
      </c>
      <c r="D80" s="4">
        <v>113167</v>
      </c>
      <c r="E80" s="4">
        <v>46797</v>
      </c>
    </row>
    <row r="81" spans="1:5" x14ac:dyDescent="0.3">
      <c r="A81" s="2" t="s">
        <v>17</v>
      </c>
      <c r="B81" s="3" t="s">
        <v>38</v>
      </c>
      <c r="C81" s="3" t="s">
        <v>7</v>
      </c>
      <c r="D81" s="4">
        <v>108777</v>
      </c>
      <c r="E81" s="4">
        <v>40817</v>
      </c>
    </row>
    <row r="82" spans="1:5" x14ac:dyDescent="0.3">
      <c r="A82" s="2" t="s">
        <v>17</v>
      </c>
      <c r="B82" s="3" t="s">
        <v>38</v>
      </c>
      <c r="C82" s="3" t="s">
        <v>8</v>
      </c>
      <c r="D82" s="4">
        <v>115060</v>
      </c>
      <c r="E82" s="4">
        <v>53030</v>
      </c>
    </row>
    <row r="83" spans="1:5" x14ac:dyDescent="0.3">
      <c r="A83" s="2" t="s">
        <v>17</v>
      </c>
      <c r="B83" s="3" t="s">
        <v>38</v>
      </c>
      <c r="C83" s="3" t="s">
        <v>9</v>
      </c>
      <c r="D83" s="4">
        <v>120231</v>
      </c>
      <c r="E83" s="4">
        <v>71257</v>
      </c>
    </row>
    <row r="84" spans="1:5" x14ac:dyDescent="0.3">
      <c r="A84" s="2" t="s">
        <v>17</v>
      </c>
      <c r="B84" s="3" t="s">
        <v>38</v>
      </c>
      <c r="C84" s="3" t="s">
        <v>10</v>
      </c>
      <c r="D84" s="4">
        <v>118451</v>
      </c>
      <c r="E84" s="4">
        <v>41510</v>
      </c>
    </row>
    <row r="85" spans="1:5" x14ac:dyDescent="0.3">
      <c r="A85" s="2" t="s">
        <v>17</v>
      </c>
      <c r="B85" s="3" t="s">
        <v>38</v>
      </c>
      <c r="C85" s="3" t="s">
        <v>11</v>
      </c>
      <c r="D85" s="4">
        <v>130143</v>
      </c>
      <c r="E85" s="4">
        <v>42954</v>
      </c>
    </row>
    <row r="86" spans="1:5" x14ac:dyDescent="0.3">
      <c r="A86" s="2" t="s">
        <v>17</v>
      </c>
      <c r="B86" s="3" t="s">
        <v>38</v>
      </c>
      <c r="C86" s="3" t="s">
        <v>12</v>
      </c>
      <c r="D86" s="4">
        <v>127675</v>
      </c>
      <c r="E86" s="4">
        <v>49716</v>
      </c>
    </row>
    <row r="87" spans="1:5" x14ac:dyDescent="0.3">
      <c r="A87" s="2" t="s">
        <v>17</v>
      </c>
      <c r="B87" s="3" t="s">
        <v>38</v>
      </c>
      <c r="C87" s="3" t="s">
        <v>13</v>
      </c>
      <c r="D87" s="4">
        <v>123779</v>
      </c>
      <c r="E87" s="4">
        <v>82308</v>
      </c>
    </row>
    <row r="88" spans="1:5" x14ac:dyDescent="0.3">
      <c r="A88" s="2" t="s">
        <v>17</v>
      </c>
      <c r="B88" s="3" t="s">
        <v>36</v>
      </c>
      <c r="C88" s="3" t="s">
        <v>2</v>
      </c>
      <c r="D88" s="4">
        <v>41860</v>
      </c>
      <c r="E88" s="4">
        <v>14132</v>
      </c>
    </row>
    <row r="89" spans="1:5" x14ac:dyDescent="0.3">
      <c r="A89" s="2" t="s">
        <v>17</v>
      </c>
      <c r="B89" s="3" t="s">
        <v>36</v>
      </c>
      <c r="C89" s="3" t="s">
        <v>3</v>
      </c>
      <c r="D89" s="4">
        <v>42662</v>
      </c>
      <c r="E89" s="4">
        <v>13745</v>
      </c>
    </row>
    <row r="90" spans="1:5" x14ac:dyDescent="0.3">
      <c r="A90" s="2" t="s">
        <v>17</v>
      </c>
      <c r="B90" s="3" t="s">
        <v>36</v>
      </c>
      <c r="C90" s="3" t="s">
        <v>4</v>
      </c>
      <c r="D90" s="4">
        <v>44131</v>
      </c>
      <c r="E90" s="4">
        <v>15490</v>
      </c>
    </row>
    <row r="91" spans="1:5" x14ac:dyDescent="0.3">
      <c r="A91" s="2" t="s">
        <v>17</v>
      </c>
      <c r="B91" s="3" t="s">
        <v>36</v>
      </c>
      <c r="C91" s="3" t="s">
        <v>5</v>
      </c>
      <c r="D91" s="4">
        <v>53637</v>
      </c>
      <c r="E91" s="4">
        <v>17224</v>
      </c>
    </row>
    <row r="92" spans="1:5" x14ac:dyDescent="0.3">
      <c r="A92" s="2" t="s">
        <v>17</v>
      </c>
      <c r="B92" s="3" t="s">
        <v>36</v>
      </c>
      <c r="C92" s="3" t="s">
        <v>6</v>
      </c>
      <c r="D92" s="4">
        <v>52136</v>
      </c>
      <c r="E92" s="4">
        <v>16163</v>
      </c>
    </row>
    <row r="93" spans="1:5" x14ac:dyDescent="0.3">
      <c r="A93" s="2" t="s">
        <v>17</v>
      </c>
      <c r="B93" s="3" t="s">
        <v>36</v>
      </c>
      <c r="C93" s="3" t="s">
        <v>7</v>
      </c>
      <c r="D93" s="4">
        <v>51926</v>
      </c>
      <c r="E93" s="4">
        <v>14008</v>
      </c>
    </row>
    <row r="94" spans="1:5" x14ac:dyDescent="0.3">
      <c r="A94" s="2" t="s">
        <v>17</v>
      </c>
      <c r="B94" s="3" t="s">
        <v>36</v>
      </c>
      <c r="C94" s="3" t="s">
        <v>8</v>
      </c>
      <c r="D94" s="4">
        <v>46512</v>
      </c>
      <c r="E94" s="4">
        <v>15891</v>
      </c>
    </row>
    <row r="95" spans="1:5" x14ac:dyDescent="0.3">
      <c r="A95" s="2" t="s">
        <v>17</v>
      </c>
      <c r="B95" s="3" t="s">
        <v>36</v>
      </c>
      <c r="C95" s="3" t="s">
        <v>9</v>
      </c>
      <c r="D95" s="4">
        <v>39245</v>
      </c>
      <c r="E95" s="4">
        <v>18163</v>
      </c>
    </row>
    <row r="96" spans="1:5" x14ac:dyDescent="0.3">
      <c r="A96" s="2" t="s">
        <v>17</v>
      </c>
      <c r="B96" s="3" t="s">
        <v>36</v>
      </c>
      <c r="C96" s="3" t="s">
        <v>10</v>
      </c>
      <c r="D96" s="4">
        <v>38929</v>
      </c>
      <c r="E96" s="4">
        <v>12633</v>
      </c>
    </row>
    <row r="97" spans="1:5" x14ac:dyDescent="0.3">
      <c r="A97" s="2" t="s">
        <v>17</v>
      </c>
      <c r="B97" s="3" t="s">
        <v>36</v>
      </c>
      <c r="C97" s="3" t="s">
        <v>11</v>
      </c>
      <c r="D97" s="4">
        <v>47811</v>
      </c>
      <c r="E97" s="4">
        <v>17084</v>
      </c>
    </row>
    <row r="98" spans="1:5" x14ac:dyDescent="0.3">
      <c r="A98" s="2" t="s">
        <v>17</v>
      </c>
      <c r="B98" s="3" t="s">
        <v>36</v>
      </c>
      <c r="C98" s="3" t="s">
        <v>12</v>
      </c>
      <c r="D98" s="4">
        <v>56160</v>
      </c>
      <c r="E98" s="4">
        <v>20254</v>
      </c>
    </row>
    <row r="99" spans="1:5" x14ac:dyDescent="0.3">
      <c r="A99" s="2" t="s">
        <v>17</v>
      </c>
      <c r="B99" s="3" t="s">
        <v>36</v>
      </c>
      <c r="C99" s="3" t="s">
        <v>13</v>
      </c>
      <c r="D99" s="4">
        <v>54085</v>
      </c>
      <c r="E99" s="4">
        <v>32535</v>
      </c>
    </row>
    <row r="100" spans="1:5" x14ac:dyDescent="0.3">
      <c r="A100" s="2" t="s">
        <v>17</v>
      </c>
      <c r="B100" s="3" t="s">
        <v>35</v>
      </c>
      <c r="C100" s="3" t="s">
        <v>2</v>
      </c>
      <c r="D100" s="4">
        <v>121172</v>
      </c>
      <c r="E100" s="4">
        <v>49250</v>
      </c>
    </row>
    <row r="101" spans="1:5" x14ac:dyDescent="0.3">
      <c r="A101" s="2" t="s">
        <v>17</v>
      </c>
      <c r="B101" s="3" t="s">
        <v>35</v>
      </c>
      <c r="C101" s="3" t="s">
        <v>3</v>
      </c>
      <c r="D101" s="4">
        <v>102013</v>
      </c>
      <c r="E101" s="4">
        <v>39833</v>
      </c>
    </row>
    <row r="102" spans="1:5" x14ac:dyDescent="0.3">
      <c r="A102" s="2" t="s">
        <v>17</v>
      </c>
      <c r="B102" s="3" t="s">
        <v>35</v>
      </c>
      <c r="C102" s="3" t="s">
        <v>4</v>
      </c>
      <c r="D102" s="4">
        <v>135065</v>
      </c>
      <c r="E102" s="4">
        <v>60929</v>
      </c>
    </row>
    <row r="103" spans="1:5" x14ac:dyDescent="0.3">
      <c r="A103" s="2" t="s">
        <v>17</v>
      </c>
      <c r="B103" s="3" t="s">
        <v>35</v>
      </c>
      <c r="C103" s="3" t="s">
        <v>5</v>
      </c>
      <c r="D103" s="4">
        <v>203157</v>
      </c>
      <c r="E103" s="4">
        <v>60726</v>
      </c>
    </row>
    <row r="104" spans="1:5" x14ac:dyDescent="0.3">
      <c r="A104" s="2" t="s">
        <v>17</v>
      </c>
      <c r="B104" s="3" t="s">
        <v>35</v>
      </c>
      <c r="C104" s="3" t="s">
        <v>6</v>
      </c>
      <c r="D104" s="4">
        <v>194594</v>
      </c>
      <c r="E104" s="4">
        <v>58640</v>
      </c>
    </row>
    <row r="105" spans="1:5" x14ac:dyDescent="0.3">
      <c r="A105" s="2" t="s">
        <v>17</v>
      </c>
      <c r="B105" s="3" t="s">
        <v>35</v>
      </c>
      <c r="C105" s="3" t="s">
        <v>7</v>
      </c>
      <c r="D105" s="4">
        <v>163928</v>
      </c>
      <c r="E105" s="4">
        <v>49100</v>
      </c>
    </row>
    <row r="106" spans="1:5" x14ac:dyDescent="0.3">
      <c r="A106" s="2" t="s">
        <v>17</v>
      </c>
      <c r="B106" s="3" t="s">
        <v>35</v>
      </c>
      <c r="C106" s="3" t="s">
        <v>8</v>
      </c>
      <c r="D106" s="4">
        <v>149202</v>
      </c>
      <c r="E106" s="4">
        <v>55343</v>
      </c>
    </row>
    <row r="107" spans="1:5" x14ac:dyDescent="0.3">
      <c r="A107" s="2" t="s">
        <v>17</v>
      </c>
      <c r="B107" s="3" t="s">
        <v>35</v>
      </c>
      <c r="C107" s="3" t="s">
        <v>9</v>
      </c>
      <c r="D107" s="4">
        <v>143179</v>
      </c>
      <c r="E107" s="4">
        <v>60562</v>
      </c>
    </row>
    <row r="108" spans="1:5" x14ac:dyDescent="0.3">
      <c r="A108" s="2" t="s">
        <v>17</v>
      </c>
      <c r="B108" s="3" t="s">
        <v>35</v>
      </c>
      <c r="C108" s="3" t="s">
        <v>10</v>
      </c>
      <c r="D108" s="4">
        <v>190145</v>
      </c>
      <c r="E108" s="4">
        <v>55068</v>
      </c>
    </row>
    <row r="109" spans="1:5" x14ac:dyDescent="0.3">
      <c r="A109" s="2" t="s">
        <v>17</v>
      </c>
      <c r="B109" s="3" t="s">
        <v>35</v>
      </c>
      <c r="C109" s="3" t="s">
        <v>11</v>
      </c>
      <c r="D109" s="4">
        <v>201349</v>
      </c>
      <c r="E109" s="4">
        <v>68694</v>
      </c>
    </row>
    <row r="110" spans="1:5" x14ac:dyDescent="0.3">
      <c r="A110" s="2" t="s">
        <v>17</v>
      </c>
      <c r="B110" s="3" t="s">
        <v>35</v>
      </c>
      <c r="C110" s="3" t="s">
        <v>12</v>
      </c>
      <c r="D110" s="4">
        <v>189817</v>
      </c>
      <c r="E110" s="4">
        <v>85324</v>
      </c>
    </row>
    <row r="111" spans="1:5" x14ac:dyDescent="0.3">
      <c r="A111" s="2" t="s">
        <v>17</v>
      </c>
      <c r="B111" s="3" t="s">
        <v>35</v>
      </c>
      <c r="C111" s="3" t="s">
        <v>13</v>
      </c>
      <c r="D111" s="4">
        <v>187546</v>
      </c>
      <c r="E111" s="4">
        <v>162533</v>
      </c>
    </row>
    <row r="112" spans="1:5" x14ac:dyDescent="0.3">
      <c r="A112" s="2" t="s">
        <v>17</v>
      </c>
      <c r="B112" s="3" t="s">
        <v>34</v>
      </c>
      <c r="C112" s="3" t="s">
        <v>2</v>
      </c>
      <c r="D112" s="4">
        <v>2903</v>
      </c>
      <c r="E112" s="4">
        <v>453</v>
      </c>
    </row>
    <row r="113" spans="1:5" x14ac:dyDescent="0.3">
      <c r="A113" s="2" t="s">
        <v>17</v>
      </c>
      <c r="B113" s="3" t="s">
        <v>34</v>
      </c>
      <c r="C113" s="3" t="s">
        <v>3</v>
      </c>
      <c r="D113" s="4">
        <v>2738</v>
      </c>
      <c r="E113" s="4">
        <v>493</v>
      </c>
    </row>
    <row r="114" spans="1:5" x14ac:dyDescent="0.3">
      <c r="A114" s="2" t="s">
        <v>17</v>
      </c>
      <c r="B114" s="3" t="s">
        <v>34</v>
      </c>
      <c r="C114" s="3" t="s">
        <v>4</v>
      </c>
      <c r="D114" s="4">
        <v>2685</v>
      </c>
      <c r="E114" s="4">
        <v>443</v>
      </c>
    </row>
    <row r="115" spans="1:5" x14ac:dyDescent="0.3">
      <c r="A115" s="2" t="s">
        <v>17</v>
      </c>
      <c r="B115" s="3" t="s">
        <v>34</v>
      </c>
      <c r="C115" s="3" t="s">
        <v>5</v>
      </c>
      <c r="D115" s="4">
        <v>2747</v>
      </c>
      <c r="E115" s="4">
        <v>485</v>
      </c>
    </row>
    <row r="116" spans="1:5" x14ac:dyDescent="0.3">
      <c r="A116" s="2" t="s">
        <v>17</v>
      </c>
      <c r="B116" s="3" t="s">
        <v>34</v>
      </c>
      <c r="C116" s="3" t="s">
        <v>6</v>
      </c>
      <c r="D116" s="4">
        <v>2451</v>
      </c>
      <c r="E116" s="4">
        <v>782</v>
      </c>
    </row>
    <row r="117" spans="1:5" x14ac:dyDescent="0.3">
      <c r="A117" s="2" t="s">
        <v>17</v>
      </c>
      <c r="B117" s="3" t="s">
        <v>34</v>
      </c>
      <c r="C117" s="3" t="s">
        <v>7</v>
      </c>
      <c r="D117" s="4">
        <v>13711</v>
      </c>
      <c r="E117" s="4">
        <v>2157</v>
      </c>
    </row>
    <row r="118" spans="1:5" x14ac:dyDescent="0.3">
      <c r="A118" s="2" t="s">
        <v>17</v>
      </c>
      <c r="B118" s="3" t="s">
        <v>34</v>
      </c>
      <c r="C118" s="3" t="s">
        <v>8</v>
      </c>
      <c r="D118" s="4">
        <v>18793</v>
      </c>
      <c r="E118" s="4">
        <v>5876</v>
      </c>
    </row>
    <row r="119" spans="1:5" x14ac:dyDescent="0.3">
      <c r="A119" s="2" t="s">
        <v>17</v>
      </c>
      <c r="B119" s="3" t="s">
        <v>34</v>
      </c>
      <c r="C119" s="3" t="s">
        <v>9</v>
      </c>
      <c r="D119" s="4">
        <v>15317</v>
      </c>
      <c r="E119" s="4">
        <v>10988</v>
      </c>
    </row>
    <row r="120" spans="1:5" x14ac:dyDescent="0.3">
      <c r="A120" s="2" t="s">
        <v>17</v>
      </c>
      <c r="B120" s="3" t="s">
        <v>34</v>
      </c>
      <c r="C120" s="3" t="s">
        <v>10</v>
      </c>
      <c r="D120" s="4">
        <v>5596</v>
      </c>
      <c r="E120" s="4">
        <v>1554</v>
      </c>
    </row>
    <row r="121" spans="1:5" x14ac:dyDescent="0.3">
      <c r="A121" s="2" t="s">
        <v>17</v>
      </c>
      <c r="B121" s="3" t="s">
        <v>34</v>
      </c>
      <c r="C121" s="3" t="s">
        <v>11</v>
      </c>
      <c r="D121" s="4">
        <v>8021</v>
      </c>
      <c r="E121" s="4">
        <v>1920</v>
      </c>
    </row>
    <row r="122" spans="1:5" x14ac:dyDescent="0.3">
      <c r="A122" s="2" t="s">
        <v>17</v>
      </c>
      <c r="B122" s="3" t="s">
        <v>34</v>
      </c>
      <c r="C122" s="3" t="s">
        <v>12</v>
      </c>
      <c r="D122" s="4">
        <v>7168</v>
      </c>
      <c r="E122" s="4">
        <v>2513</v>
      </c>
    </row>
    <row r="123" spans="1:5" x14ac:dyDescent="0.3">
      <c r="A123" s="2" t="s">
        <v>17</v>
      </c>
      <c r="B123" s="3" t="s">
        <v>34</v>
      </c>
      <c r="C123" s="3" t="s">
        <v>13</v>
      </c>
      <c r="D123" s="4">
        <v>4595</v>
      </c>
      <c r="E123" s="4">
        <v>1582</v>
      </c>
    </row>
    <row r="124" spans="1:5" x14ac:dyDescent="0.3">
      <c r="A124" s="2" t="s">
        <v>18</v>
      </c>
      <c r="B124" s="3" t="s">
        <v>37</v>
      </c>
      <c r="C124" s="3" t="s">
        <v>2</v>
      </c>
      <c r="D124" s="4">
        <v>62375</v>
      </c>
      <c r="E124" s="4">
        <v>34912</v>
      </c>
    </row>
    <row r="125" spans="1:5" x14ac:dyDescent="0.3">
      <c r="A125" s="2" t="s">
        <v>18</v>
      </c>
      <c r="B125" s="3" t="s">
        <v>37</v>
      </c>
      <c r="C125" s="3" t="s">
        <v>3</v>
      </c>
      <c r="D125" s="4">
        <v>66829</v>
      </c>
      <c r="E125" s="4">
        <v>37188</v>
      </c>
    </row>
    <row r="126" spans="1:5" x14ac:dyDescent="0.3">
      <c r="A126" s="2" t="s">
        <v>18</v>
      </c>
      <c r="B126" s="3" t="s">
        <v>37</v>
      </c>
      <c r="C126" s="3" t="s">
        <v>4</v>
      </c>
      <c r="D126" s="4">
        <v>74390</v>
      </c>
      <c r="E126" s="4">
        <v>46235</v>
      </c>
    </row>
    <row r="127" spans="1:5" x14ac:dyDescent="0.3">
      <c r="A127" s="2" t="s">
        <v>18</v>
      </c>
      <c r="B127" s="3" t="s">
        <v>37</v>
      </c>
      <c r="C127" s="3" t="s">
        <v>5</v>
      </c>
      <c r="D127" s="4">
        <v>81982</v>
      </c>
      <c r="E127" s="4">
        <v>39201</v>
      </c>
    </row>
    <row r="128" spans="1:5" x14ac:dyDescent="0.3">
      <c r="A128" s="2" t="s">
        <v>18</v>
      </c>
      <c r="B128" s="3" t="s">
        <v>37</v>
      </c>
      <c r="C128" s="3" t="s">
        <v>6</v>
      </c>
      <c r="D128" s="4">
        <v>80268</v>
      </c>
      <c r="E128" s="4">
        <v>45363</v>
      </c>
    </row>
    <row r="129" spans="1:5" x14ac:dyDescent="0.3">
      <c r="A129" s="2" t="s">
        <v>18</v>
      </c>
      <c r="B129" s="3" t="s">
        <v>37</v>
      </c>
      <c r="C129" s="3" t="s">
        <v>7</v>
      </c>
      <c r="D129" s="4">
        <v>88431</v>
      </c>
      <c r="E129" s="4">
        <v>47665</v>
      </c>
    </row>
    <row r="130" spans="1:5" x14ac:dyDescent="0.3">
      <c r="A130" s="2" t="s">
        <v>18</v>
      </c>
      <c r="B130" s="3" t="s">
        <v>37</v>
      </c>
      <c r="C130" s="3" t="s">
        <v>8</v>
      </c>
      <c r="D130" s="4">
        <v>86240</v>
      </c>
      <c r="E130" s="4">
        <v>43457</v>
      </c>
    </row>
    <row r="131" spans="1:5" x14ac:dyDescent="0.3">
      <c r="A131" s="2" t="s">
        <v>18</v>
      </c>
      <c r="B131" s="3" t="s">
        <v>37</v>
      </c>
      <c r="C131" s="3" t="s">
        <v>9</v>
      </c>
      <c r="D131" s="4">
        <v>79551</v>
      </c>
      <c r="E131" s="4">
        <v>50173</v>
      </c>
    </row>
    <row r="132" spans="1:5" x14ac:dyDescent="0.3">
      <c r="A132" s="2" t="s">
        <v>18</v>
      </c>
      <c r="B132" s="3" t="s">
        <v>37</v>
      </c>
      <c r="C132" s="3" t="s">
        <v>10</v>
      </c>
      <c r="D132" s="4">
        <v>92552</v>
      </c>
      <c r="E132" s="4">
        <v>41817</v>
      </c>
    </row>
    <row r="133" spans="1:5" x14ac:dyDescent="0.3">
      <c r="A133" s="2" t="s">
        <v>18</v>
      </c>
      <c r="B133" s="3" t="s">
        <v>37</v>
      </c>
      <c r="C133" s="3" t="s">
        <v>11</v>
      </c>
      <c r="D133" s="4">
        <v>85112</v>
      </c>
      <c r="E133" s="4">
        <v>39776</v>
      </c>
    </row>
    <row r="134" spans="1:5" x14ac:dyDescent="0.3">
      <c r="A134" s="2" t="s">
        <v>18</v>
      </c>
      <c r="B134" s="3" t="s">
        <v>37</v>
      </c>
      <c r="C134" s="3" t="s">
        <v>12</v>
      </c>
      <c r="D134" s="4">
        <v>79711</v>
      </c>
      <c r="E134" s="4">
        <v>41979</v>
      </c>
    </row>
    <row r="135" spans="1:5" x14ac:dyDescent="0.3">
      <c r="A135" s="2" t="s">
        <v>18</v>
      </c>
      <c r="B135" s="3" t="s">
        <v>37</v>
      </c>
      <c r="C135" s="3" t="s">
        <v>13</v>
      </c>
      <c r="D135" s="4">
        <v>95801</v>
      </c>
      <c r="E135" s="4">
        <v>65048</v>
      </c>
    </row>
    <row r="136" spans="1:5" x14ac:dyDescent="0.3">
      <c r="A136" s="2" t="s">
        <v>18</v>
      </c>
      <c r="B136" s="3" t="s">
        <v>38</v>
      </c>
      <c r="C136" s="3" t="s">
        <v>2</v>
      </c>
      <c r="D136" s="4">
        <v>66558</v>
      </c>
      <c r="E136" s="4">
        <v>32147</v>
      </c>
    </row>
    <row r="137" spans="1:5" x14ac:dyDescent="0.3">
      <c r="A137" s="2" t="s">
        <v>18</v>
      </c>
      <c r="B137" s="3" t="s">
        <v>38</v>
      </c>
      <c r="C137" s="3" t="s">
        <v>3</v>
      </c>
      <c r="D137" s="4">
        <v>69533</v>
      </c>
      <c r="E137" s="4">
        <v>33886</v>
      </c>
    </row>
    <row r="138" spans="1:5" x14ac:dyDescent="0.3">
      <c r="A138" s="2" t="s">
        <v>18</v>
      </c>
      <c r="B138" s="3" t="s">
        <v>38</v>
      </c>
      <c r="C138" s="3" t="s">
        <v>4</v>
      </c>
      <c r="D138" s="4">
        <v>74333</v>
      </c>
      <c r="E138" s="4">
        <v>44278</v>
      </c>
    </row>
    <row r="139" spans="1:5" x14ac:dyDescent="0.3">
      <c r="A139" s="2" t="s">
        <v>18</v>
      </c>
      <c r="B139" s="3" t="s">
        <v>38</v>
      </c>
      <c r="C139" s="3" t="s">
        <v>5</v>
      </c>
      <c r="D139" s="4">
        <v>81273</v>
      </c>
      <c r="E139" s="4">
        <v>38751</v>
      </c>
    </row>
    <row r="140" spans="1:5" x14ac:dyDescent="0.3">
      <c r="A140" s="2" t="s">
        <v>18</v>
      </c>
      <c r="B140" s="3" t="s">
        <v>38</v>
      </c>
      <c r="C140" s="3" t="s">
        <v>6</v>
      </c>
      <c r="D140" s="4">
        <v>74093</v>
      </c>
      <c r="E140" s="4">
        <v>40158</v>
      </c>
    </row>
    <row r="141" spans="1:5" x14ac:dyDescent="0.3">
      <c r="A141" s="2" t="s">
        <v>18</v>
      </c>
      <c r="B141" s="3" t="s">
        <v>38</v>
      </c>
      <c r="C141" s="3" t="s">
        <v>7</v>
      </c>
      <c r="D141" s="4">
        <v>68425</v>
      </c>
      <c r="E141" s="4">
        <v>34014</v>
      </c>
    </row>
    <row r="142" spans="1:5" x14ac:dyDescent="0.3">
      <c r="A142" s="2" t="s">
        <v>18</v>
      </c>
      <c r="B142" s="3" t="s">
        <v>38</v>
      </c>
      <c r="C142" s="3" t="s">
        <v>8</v>
      </c>
      <c r="D142" s="4">
        <v>66437</v>
      </c>
      <c r="E142" s="4">
        <v>43453</v>
      </c>
    </row>
    <row r="143" spans="1:5" x14ac:dyDescent="0.3">
      <c r="A143" s="2" t="s">
        <v>18</v>
      </c>
      <c r="B143" s="3" t="s">
        <v>38</v>
      </c>
      <c r="C143" s="3" t="s">
        <v>9</v>
      </c>
      <c r="D143" s="4">
        <v>74522</v>
      </c>
      <c r="E143" s="4">
        <v>53315</v>
      </c>
    </row>
    <row r="144" spans="1:5" x14ac:dyDescent="0.3">
      <c r="A144" s="2" t="s">
        <v>18</v>
      </c>
      <c r="B144" s="3" t="s">
        <v>38</v>
      </c>
      <c r="C144" s="3" t="s">
        <v>10</v>
      </c>
      <c r="D144" s="4">
        <v>67390</v>
      </c>
      <c r="E144" s="4">
        <v>33512</v>
      </c>
    </row>
    <row r="145" spans="1:5" x14ac:dyDescent="0.3">
      <c r="A145" s="2" t="s">
        <v>18</v>
      </c>
      <c r="B145" s="3" t="s">
        <v>38</v>
      </c>
      <c r="C145" s="3" t="s">
        <v>11</v>
      </c>
      <c r="D145" s="4">
        <v>73984</v>
      </c>
      <c r="E145" s="4">
        <v>35060</v>
      </c>
    </row>
    <row r="146" spans="1:5" x14ac:dyDescent="0.3">
      <c r="A146" s="2" t="s">
        <v>18</v>
      </c>
      <c r="B146" s="3" t="s">
        <v>38</v>
      </c>
      <c r="C146" s="3" t="s">
        <v>12</v>
      </c>
      <c r="D146" s="4">
        <v>73479</v>
      </c>
      <c r="E146" s="4">
        <v>39208</v>
      </c>
    </row>
    <row r="147" spans="1:5" x14ac:dyDescent="0.3">
      <c r="A147" s="2" t="s">
        <v>18</v>
      </c>
      <c r="B147" s="3" t="s">
        <v>38</v>
      </c>
      <c r="C147" s="3" t="s">
        <v>13</v>
      </c>
      <c r="D147" s="4">
        <v>75105</v>
      </c>
      <c r="E147" s="4">
        <v>60940</v>
      </c>
    </row>
    <row r="148" spans="1:5" x14ac:dyDescent="0.3">
      <c r="A148" s="2" t="s">
        <v>18</v>
      </c>
      <c r="B148" s="3" t="s">
        <v>36</v>
      </c>
      <c r="C148" s="3" t="s">
        <v>2</v>
      </c>
      <c r="D148" s="4">
        <v>28377</v>
      </c>
      <c r="E148" s="4">
        <v>9718</v>
      </c>
    </row>
    <row r="149" spans="1:5" x14ac:dyDescent="0.3">
      <c r="A149" s="2" t="s">
        <v>18</v>
      </c>
      <c r="B149" s="3" t="s">
        <v>36</v>
      </c>
      <c r="C149" s="3" t="s">
        <v>3</v>
      </c>
      <c r="D149" s="4">
        <v>25558</v>
      </c>
      <c r="E149" s="4">
        <v>8585</v>
      </c>
    </row>
    <row r="150" spans="1:5" x14ac:dyDescent="0.3">
      <c r="A150" s="2" t="s">
        <v>18</v>
      </c>
      <c r="B150" s="3" t="s">
        <v>36</v>
      </c>
      <c r="C150" s="3" t="s">
        <v>4</v>
      </c>
      <c r="D150" s="4">
        <v>28721</v>
      </c>
      <c r="E150" s="4">
        <v>9742</v>
      </c>
    </row>
    <row r="151" spans="1:5" x14ac:dyDescent="0.3">
      <c r="A151" s="2" t="s">
        <v>18</v>
      </c>
      <c r="B151" s="3" t="s">
        <v>36</v>
      </c>
      <c r="C151" s="3" t="s">
        <v>5</v>
      </c>
      <c r="D151" s="4">
        <v>33158</v>
      </c>
      <c r="E151" s="4">
        <v>10502</v>
      </c>
    </row>
    <row r="152" spans="1:5" x14ac:dyDescent="0.3">
      <c r="A152" s="2" t="s">
        <v>18</v>
      </c>
      <c r="B152" s="3" t="s">
        <v>36</v>
      </c>
      <c r="C152" s="3" t="s">
        <v>6</v>
      </c>
      <c r="D152" s="4">
        <v>34227</v>
      </c>
      <c r="E152" s="4">
        <v>11476</v>
      </c>
    </row>
    <row r="153" spans="1:5" x14ac:dyDescent="0.3">
      <c r="A153" s="2" t="s">
        <v>18</v>
      </c>
      <c r="B153" s="3" t="s">
        <v>36</v>
      </c>
      <c r="C153" s="3" t="s">
        <v>7</v>
      </c>
      <c r="D153" s="4">
        <v>33060</v>
      </c>
      <c r="E153" s="4">
        <v>10901</v>
      </c>
    </row>
    <row r="154" spans="1:5" x14ac:dyDescent="0.3">
      <c r="A154" s="2" t="s">
        <v>18</v>
      </c>
      <c r="B154" s="3" t="s">
        <v>36</v>
      </c>
      <c r="C154" s="3" t="s">
        <v>8</v>
      </c>
      <c r="D154" s="4">
        <v>29813</v>
      </c>
      <c r="E154" s="4">
        <v>11660</v>
      </c>
    </row>
    <row r="155" spans="1:5" x14ac:dyDescent="0.3">
      <c r="A155" s="2" t="s">
        <v>18</v>
      </c>
      <c r="B155" s="3" t="s">
        <v>36</v>
      </c>
      <c r="C155" s="3" t="s">
        <v>9</v>
      </c>
      <c r="D155" s="4">
        <v>27859</v>
      </c>
      <c r="E155" s="4">
        <v>12675</v>
      </c>
    </row>
    <row r="156" spans="1:5" x14ac:dyDescent="0.3">
      <c r="A156" s="2" t="s">
        <v>18</v>
      </c>
      <c r="B156" s="3" t="s">
        <v>36</v>
      </c>
      <c r="C156" s="3" t="s">
        <v>10</v>
      </c>
      <c r="D156" s="4">
        <v>25212</v>
      </c>
      <c r="E156" s="4">
        <v>9207</v>
      </c>
    </row>
    <row r="157" spans="1:5" x14ac:dyDescent="0.3">
      <c r="A157" s="2" t="s">
        <v>18</v>
      </c>
      <c r="B157" s="3" t="s">
        <v>36</v>
      </c>
      <c r="C157" s="3" t="s">
        <v>11</v>
      </c>
      <c r="D157" s="4">
        <v>33545</v>
      </c>
      <c r="E157" s="4">
        <v>11796</v>
      </c>
    </row>
    <row r="158" spans="1:5" x14ac:dyDescent="0.3">
      <c r="A158" s="2" t="s">
        <v>18</v>
      </c>
      <c r="B158" s="3" t="s">
        <v>36</v>
      </c>
      <c r="C158" s="3" t="s">
        <v>12</v>
      </c>
      <c r="D158" s="4">
        <v>34009</v>
      </c>
      <c r="E158" s="4">
        <v>11315</v>
      </c>
    </row>
    <row r="159" spans="1:5" x14ac:dyDescent="0.3">
      <c r="A159" s="2" t="s">
        <v>18</v>
      </c>
      <c r="B159" s="3" t="s">
        <v>36</v>
      </c>
      <c r="C159" s="3" t="s">
        <v>13</v>
      </c>
      <c r="D159" s="4">
        <v>29492</v>
      </c>
      <c r="E159" s="4">
        <v>15444</v>
      </c>
    </row>
    <row r="160" spans="1:5" x14ac:dyDescent="0.3">
      <c r="A160" s="2" t="s">
        <v>18</v>
      </c>
      <c r="B160" s="3" t="s">
        <v>35</v>
      </c>
      <c r="C160" s="3" t="s">
        <v>2</v>
      </c>
      <c r="D160" s="4">
        <v>82842</v>
      </c>
      <c r="E160" s="4">
        <v>44011</v>
      </c>
    </row>
    <row r="161" spans="1:5" x14ac:dyDescent="0.3">
      <c r="A161" s="2" t="s">
        <v>18</v>
      </c>
      <c r="B161" s="3" t="s">
        <v>35</v>
      </c>
      <c r="C161" s="3" t="s">
        <v>3</v>
      </c>
      <c r="D161" s="4">
        <v>65790</v>
      </c>
      <c r="E161" s="4">
        <v>34073</v>
      </c>
    </row>
    <row r="162" spans="1:5" x14ac:dyDescent="0.3">
      <c r="A162" s="2" t="s">
        <v>18</v>
      </c>
      <c r="B162" s="3" t="s">
        <v>35</v>
      </c>
      <c r="C162" s="3" t="s">
        <v>4</v>
      </c>
      <c r="D162" s="4">
        <v>87814</v>
      </c>
      <c r="E162" s="4">
        <v>47932</v>
      </c>
    </row>
    <row r="163" spans="1:5" x14ac:dyDescent="0.3">
      <c r="A163" s="2" t="s">
        <v>18</v>
      </c>
      <c r="B163" s="3" t="s">
        <v>35</v>
      </c>
      <c r="C163" s="3" t="s">
        <v>5</v>
      </c>
      <c r="D163" s="4">
        <v>136595</v>
      </c>
      <c r="E163" s="4">
        <v>47127</v>
      </c>
    </row>
    <row r="164" spans="1:5" x14ac:dyDescent="0.3">
      <c r="A164" s="2" t="s">
        <v>18</v>
      </c>
      <c r="B164" s="3" t="s">
        <v>35</v>
      </c>
      <c r="C164" s="3" t="s">
        <v>6</v>
      </c>
      <c r="D164" s="4">
        <v>135854</v>
      </c>
      <c r="E164" s="4">
        <v>47219</v>
      </c>
    </row>
    <row r="165" spans="1:5" x14ac:dyDescent="0.3">
      <c r="A165" s="2" t="s">
        <v>18</v>
      </c>
      <c r="B165" s="3" t="s">
        <v>35</v>
      </c>
      <c r="C165" s="3" t="s">
        <v>7</v>
      </c>
      <c r="D165" s="4">
        <v>112553</v>
      </c>
      <c r="E165" s="4">
        <v>40970</v>
      </c>
    </row>
    <row r="166" spans="1:5" x14ac:dyDescent="0.3">
      <c r="A166" s="2" t="s">
        <v>18</v>
      </c>
      <c r="B166" s="3" t="s">
        <v>35</v>
      </c>
      <c r="C166" s="3" t="s">
        <v>8</v>
      </c>
      <c r="D166" s="4">
        <v>105797</v>
      </c>
      <c r="E166" s="4">
        <v>43712</v>
      </c>
    </row>
    <row r="167" spans="1:5" x14ac:dyDescent="0.3">
      <c r="A167" s="2" t="s">
        <v>18</v>
      </c>
      <c r="B167" s="3" t="s">
        <v>35</v>
      </c>
      <c r="C167" s="3" t="s">
        <v>9</v>
      </c>
      <c r="D167" s="4">
        <v>99932</v>
      </c>
      <c r="E167" s="4">
        <v>50257</v>
      </c>
    </row>
    <row r="168" spans="1:5" x14ac:dyDescent="0.3">
      <c r="A168" s="2" t="s">
        <v>18</v>
      </c>
      <c r="B168" s="3" t="s">
        <v>35</v>
      </c>
      <c r="C168" s="3" t="s">
        <v>10</v>
      </c>
      <c r="D168" s="4">
        <v>117163</v>
      </c>
      <c r="E168" s="4">
        <v>42539</v>
      </c>
    </row>
    <row r="169" spans="1:5" x14ac:dyDescent="0.3">
      <c r="A169" s="2" t="s">
        <v>18</v>
      </c>
      <c r="B169" s="3" t="s">
        <v>35</v>
      </c>
      <c r="C169" s="3" t="s">
        <v>11</v>
      </c>
      <c r="D169" s="4">
        <v>104176</v>
      </c>
      <c r="E169" s="4">
        <v>51852</v>
      </c>
    </row>
    <row r="170" spans="1:5" x14ac:dyDescent="0.3">
      <c r="A170" s="2" t="s">
        <v>18</v>
      </c>
      <c r="B170" s="3" t="s">
        <v>35</v>
      </c>
      <c r="C170" s="3" t="s">
        <v>12</v>
      </c>
      <c r="D170" s="4">
        <v>79752</v>
      </c>
      <c r="E170" s="4">
        <v>63989</v>
      </c>
    </row>
    <row r="171" spans="1:5" x14ac:dyDescent="0.3">
      <c r="A171" s="2" t="s">
        <v>18</v>
      </c>
      <c r="B171" s="3" t="s">
        <v>35</v>
      </c>
      <c r="C171" s="3" t="s">
        <v>13</v>
      </c>
      <c r="D171" s="4">
        <v>77329</v>
      </c>
      <c r="E171" s="4">
        <v>120003</v>
      </c>
    </row>
    <row r="172" spans="1:5" x14ac:dyDescent="0.3">
      <c r="A172" s="2" t="s">
        <v>18</v>
      </c>
      <c r="B172" s="3" t="s">
        <v>34</v>
      </c>
      <c r="C172" s="3" t="s">
        <v>2</v>
      </c>
      <c r="D172" s="4">
        <v>2355</v>
      </c>
      <c r="E172" s="4">
        <v>357</v>
      </c>
    </row>
    <row r="173" spans="1:5" x14ac:dyDescent="0.3">
      <c r="A173" s="2" t="s">
        <v>18</v>
      </c>
      <c r="B173" s="3" t="s">
        <v>34</v>
      </c>
      <c r="C173" s="3" t="s">
        <v>3</v>
      </c>
      <c r="D173" s="4">
        <v>2431</v>
      </c>
      <c r="E173" s="4">
        <v>332</v>
      </c>
    </row>
    <row r="174" spans="1:5" x14ac:dyDescent="0.3">
      <c r="A174" s="2" t="s">
        <v>18</v>
      </c>
      <c r="B174" s="3" t="s">
        <v>34</v>
      </c>
      <c r="C174" s="3" t="s">
        <v>4</v>
      </c>
      <c r="D174" s="4">
        <v>2523</v>
      </c>
      <c r="E174" s="4">
        <v>330</v>
      </c>
    </row>
    <row r="175" spans="1:5" x14ac:dyDescent="0.3">
      <c r="A175" s="2" t="s">
        <v>18</v>
      </c>
      <c r="B175" s="3" t="s">
        <v>34</v>
      </c>
      <c r="C175" s="3" t="s">
        <v>5</v>
      </c>
      <c r="D175" s="4">
        <v>2496</v>
      </c>
      <c r="E175" s="4">
        <v>318</v>
      </c>
    </row>
    <row r="176" spans="1:5" x14ac:dyDescent="0.3">
      <c r="A176" s="2" t="s">
        <v>18</v>
      </c>
      <c r="B176" s="3" t="s">
        <v>34</v>
      </c>
      <c r="C176" s="3" t="s">
        <v>6</v>
      </c>
      <c r="D176" s="4">
        <v>2278</v>
      </c>
      <c r="E176" s="4">
        <v>544</v>
      </c>
    </row>
    <row r="177" spans="1:5" x14ac:dyDescent="0.3">
      <c r="A177" s="2" t="s">
        <v>18</v>
      </c>
      <c r="B177" s="3" t="s">
        <v>34</v>
      </c>
      <c r="C177" s="3" t="s">
        <v>7</v>
      </c>
      <c r="D177" s="4">
        <v>8495</v>
      </c>
      <c r="E177" s="4">
        <v>1252</v>
      </c>
    </row>
    <row r="178" spans="1:5" x14ac:dyDescent="0.3">
      <c r="A178" s="2" t="s">
        <v>18</v>
      </c>
      <c r="B178" s="3" t="s">
        <v>34</v>
      </c>
      <c r="C178" s="3" t="s">
        <v>8</v>
      </c>
      <c r="D178" s="4">
        <v>11970</v>
      </c>
      <c r="E178" s="4">
        <v>3511</v>
      </c>
    </row>
    <row r="179" spans="1:5" x14ac:dyDescent="0.3">
      <c r="A179" s="2" t="s">
        <v>18</v>
      </c>
      <c r="B179" s="3" t="s">
        <v>34</v>
      </c>
      <c r="C179" s="3" t="s">
        <v>9</v>
      </c>
      <c r="D179" s="4">
        <v>10487</v>
      </c>
      <c r="E179" s="4">
        <v>7116</v>
      </c>
    </row>
    <row r="180" spans="1:5" x14ac:dyDescent="0.3">
      <c r="A180" s="2" t="s">
        <v>18</v>
      </c>
      <c r="B180" s="3" t="s">
        <v>34</v>
      </c>
      <c r="C180" s="3" t="s">
        <v>10</v>
      </c>
      <c r="D180" s="4">
        <v>4095</v>
      </c>
      <c r="E180" s="4">
        <v>1083</v>
      </c>
    </row>
    <row r="181" spans="1:5" x14ac:dyDescent="0.3">
      <c r="A181" s="2" t="s">
        <v>18</v>
      </c>
      <c r="B181" s="3" t="s">
        <v>34</v>
      </c>
      <c r="C181" s="3" t="s">
        <v>11</v>
      </c>
      <c r="D181" s="4">
        <v>4640</v>
      </c>
      <c r="E181" s="4">
        <v>929</v>
      </c>
    </row>
    <row r="182" spans="1:5" x14ac:dyDescent="0.3">
      <c r="A182" s="2" t="s">
        <v>18</v>
      </c>
      <c r="B182" s="3" t="s">
        <v>34</v>
      </c>
      <c r="C182" s="3" t="s">
        <v>12</v>
      </c>
      <c r="D182" s="4">
        <v>4239</v>
      </c>
      <c r="E182" s="4">
        <v>1292</v>
      </c>
    </row>
    <row r="183" spans="1:5" x14ac:dyDescent="0.3">
      <c r="A183" s="2" t="s">
        <v>18</v>
      </c>
      <c r="B183" s="3" t="s">
        <v>34</v>
      </c>
      <c r="C183" s="3" t="s">
        <v>13</v>
      </c>
      <c r="D183" s="4">
        <v>2905</v>
      </c>
      <c r="E183" s="4">
        <v>744</v>
      </c>
    </row>
    <row r="184" spans="1:5" x14ac:dyDescent="0.3">
      <c r="A184" s="2" t="s">
        <v>19</v>
      </c>
      <c r="B184" s="3" t="s">
        <v>37</v>
      </c>
      <c r="C184" s="3" t="s">
        <v>2</v>
      </c>
      <c r="D184" s="4">
        <v>115926</v>
      </c>
      <c r="E184" s="4">
        <v>66170</v>
      </c>
    </row>
    <row r="185" spans="1:5" x14ac:dyDescent="0.3">
      <c r="A185" s="2" t="s">
        <v>19</v>
      </c>
      <c r="B185" s="3" t="s">
        <v>37</v>
      </c>
      <c r="C185" s="3" t="s">
        <v>3</v>
      </c>
      <c r="D185" s="4">
        <v>135139</v>
      </c>
      <c r="E185" s="4">
        <v>76667</v>
      </c>
    </row>
    <row r="186" spans="1:5" x14ac:dyDescent="0.3">
      <c r="A186" s="2" t="s">
        <v>19</v>
      </c>
      <c r="B186" s="3" t="s">
        <v>37</v>
      </c>
      <c r="C186" s="3" t="s">
        <v>4</v>
      </c>
      <c r="D186" s="4">
        <v>159933</v>
      </c>
      <c r="E186" s="4">
        <v>94599</v>
      </c>
    </row>
    <row r="187" spans="1:5" x14ac:dyDescent="0.3">
      <c r="A187" s="2" t="s">
        <v>19</v>
      </c>
      <c r="B187" s="3" t="s">
        <v>37</v>
      </c>
      <c r="C187" s="3" t="s">
        <v>5</v>
      </c>
      <c r="D187" s="4">
        <v>168176</v>
      </c>
      <c r="E187" s="4">
        <v>78273</v>
      </c>
    </row>
    <row r="188" spans="1:5" x14ac:dyDescent="0.3">
      <c r="A188" s="2" t="s">
        <v>19</v>
      </c>
      <c r="B188" s="3" t="s">
        <v>37</v>
      </c>
      <c r="C188" s="3" t="s">
        <v>6</v>
      </c>
      <c r="D188" s="4">
        <v>162455</v>
      </c>
      <c r="E188" s="4">
        <v>87664</v>
      </c>
    </row>
    <row r="189" spans="1:5" x14ac:dyDescent="0.3">
      <c r="A189" s="2" t="s">
        <v>19</v>
      </c>
      <c r="B189" s="3" t="s">
        <v>37</v>
      </c>
      <c r="C189" s="3" t="s">
        <v>7</v>
      </c>
      <c r="D189" s="4">
        <v>180557</v>
      </c>
      <c r="E189" s="4">
        <v>92335</v>
      </c>
    </row>
    <row r="190" spans="1:5" x14ac:dyDescent="0.3">
      <c r="A190" s="2" t="s">
        <v>19</v>
      </c>
      <c r="B190" s="3" t="s">
        <v>37</v>
      </c>
      <c r="C190" s="3" t="s">
        <v>8</v>
      </c>
      <c r="D190" s="4">
        <v>165067</v>
      </c>
      <c r="E190" s="4">
        <v>81657</v>
      </c>
    </row>
    <row r="191" spans="1:5" x14ac:dyDescent="0.3">
      <c r="A191" s="2" t="s">
        <v>19</v>
      </c>
      <c r="B191" s="3" t="s">
        <v>37</v>
      </c>
      <c r="C191" s="3" t="s">
        <v>9</v>
      </c>
      <c r="D191" s="4">
        <v>170984</v>
      </c>
      <c r="E191" s="4">
        <v>98614</v>
      </c>
    </row>
    <row r="192" spans="1:5" x14ac:dyDescent="0.3">
      <c r="A192" s="2" t="s">
        <v>19</v>
      </c>
      <c r="B192" s="3" t="s">
        <v>37</v>
      </c>
      <c r="C192" s="3" t="s">
        <v>10</v>
      </c>
      <c r="D192" s="4">
        <v>185511</v>
      </c>
      <c r="E192" s="4">
        <v>80045</v>
      </c>
    </row>
    <row r="193" spans="1:5" x14ac:dyDescent="0.3">
      <c r="A193" s="2" t="s">
        <v>19</v>
      </c>
      <c r="B193" s="3" t="s">
        <v>37</v>
      </c>
      <c r="C193" s="3" t="s">
        <v>11</v>
      </c>
      <c r="D193" s="4">
        <v>166328</v>
      </c>
      <c r="E193" s="4">
        <v>76707</v>
      </c>
    </row>
    <row r="194" spans="1:5" x14ac:dyDescent="0.3">
      <c r="A194" s="2" t="s">
        <v>19</v>
      </c>
      <c r="B194" s="3" t="s">
        <v>37</v>
      </c>
      <c r="C194" s="3" t="s">
        <v>12</v>
      </c>
      <c r="D194" s="4">
        <v>154897</v>
      </c>
      <c r="E194" s="4">
        <v>80178</v>
      </c>
    </row>
    <row r="195" spans="1:5" x14ac:dyDescent="0.3">
      <c r="A195" s="2" t="s">
        <v>19</v>
      </c>
      <c r="B195" s="3" t="s">
        <v>37</v>
      </c>
      <c r="C195" s="3" t="s">
        <v>13</v>
      </c>
      <c r="D195" s="4">
        <v>185701</v>
      </c>
      <c r="E195" s="4">
        <v>124924</v>
      </c>
    </row>
    <row r="196" spans="1:5" x14ac:dyDescent="0.3">
      <c r="A196" s="2" t="s">
        <v>19</v>
      </c>
      <c r="B196" s="3" t="s">
        <v>38</v>
      </c>
      <c r="C196" s="3" t="s">
        <v>2</v>
      </c>
      <c r="D196" s="4">
        <v>149964</v>
      </c>
      <c r="E196" s="4">
        <v>65990</v>
      </c>
    </row>
    <row r="197" spans="1:5" x14ac:dyDescent="0.3">
      <c r="A197" s="2" t="s">
        <v>19</v>
      </c>
      <c r="B197" s="3" t="s">
        <v>38</v>
      </c>
      <c r="C197" s="3" t="s">
        <v>3</v>
      </c>
      <c r="D197" s="4">
        <v>194841</v>
      </c>
      <c r="E197" s="4">
        <v>77403</v>
      </c>
    </row>
    <row r="198" spans="1:5" x14ac:dyDescent="0.3">
      <c r="A198" s="2" t="s">
        <v>19</v>
      </c>
      <c r="B198" s="3" t="s">
        <v>38</v>
      </c>
      <c r="C198" s="3" t="s">
        <v>4</v>
      </c>
      <c r="D198" s="4">
        <v>208698</v>
      </c>
      <c r="E198" s="4">
        <v>100720</v>
      </c>
    </row>
    <row r="199" spans="1:5" x14ac:dyDescent="0.3">
      <c r="A199" s="2" t="s">
        <v>19</v>
      </c>
      <c r="B199" s="3" t="s">
        <v>38</v>
      </c>
      <c r="C199" s="3" t="s">
        <v>5</v>
      </c>
      <c r="D199" s="4">
        <v>198542</v>
      </c>
      <c r="E199" s="4">
        <v>82850</v>
      </c>
    </row>
    <row r="200" spans="1:5" x14ac:dyDescent="0.3">
      <c r="A200" s="2" t="s">
        <v>19</v>
      </c>
      <c r="B200" s="3" t="s">
        <v>38</v>
      </c>
      <c r="C200" s="3" t="s">
        <v>6</v>
      </c>
      <c r="D200" s="4">
        <v>174716</v>
      </c>
      <c r="E200" s="4">
        <v>84140</v>
      </c>
    </row>
    <row r="201" spans="1:5" x14ac:dyDescent="0.3">
      <c r="A201" s="2" t="s">
        <v>19</v>
      </c>
      <c r="B201" s="3" t="s">
        <v>38</v>
      </c>
      <c r="C201" s="3" t="s">
        <v>7</v>
      </c>
      <c r="D201" s="4">
        <v>163930</v>
      </c>
      <c r="E201" s="4">
        <v>73089</v>
      </c>
    </row>
    <row r="202" spans="1:5" x14ac:dyDescent="0.3">
      <c r="A202" s="2" t="s">
        <v>19</v>
      </c>
      <c r="B202" s="3" t="s">
        <v>38</v>
      </c>
      <c r="C202" s="3" t="s">
        <v>8</v>
      </c>
      <c r="D202" s="4">
        <v>170596</v>
      </c>
      <c r="E202" s="4">
        <v>89613</v>
      </c>
    </row>
    <row r="203" spans="1:5" x14ac:dyDescent="0.3">
      <c r="A203" s="2" t="s">
        <v>19</v>
      </c>
      <c r="B203" s="3" t="s">
        <v>38</v>
      </c>
      <c r="C203" s="3" t="s">
        <v>9</v>
      </c>
      <c r="D203" s="4">
        <v>180795</v>
      </c>
      <c r="E203" s="4">
        <v>114623</v>
      </c>
    </row>
    <row r="204" spans="1:5" x14ac:dyDescent="0.3">
      <c r="A204" s="2" t="s">
        <v>19</v>
      </c>
      <c r="B204" s="3" t="s">
        <v>38</v>
      </c>
      <c r="C204" s="3" t="s">
        <v>10</v>
      </c>
      <c r="D204" s="4">
        <v>180179</v>
      </c>
      <c r="E204" s="4">
        <v>72269</v>
      </c>
    </row>
    <row r="205" spans="1:5" x14ac:dyDescent="0.3">
      <c r="A205" s="2" t="s">
        <v>19</v>
      </c>
      <c r="B205" s="3" t="s">
        <v>38</v>
      </c>
      <c r="C205" s="3" t="s">
        <v>11</v>
      </c>
      <c r="D205" s="4">
        <v>188838</v>
      </c>
      <c r="E205" s="4">
        <v>77272</v>
      </c>
    </row>
    <row r="206" spans="1:5" x14ac:dyDescent="0.3">
      <c r="A206" s="2" t="s">
        <v>19</v>
      </c>
      <c r="B206" s="3" t="s">
        <v>38</v>
      </c>
      <c r="C206" s="3" t="s">
        <v>12</v>
      </c>
      <c r="D206" s="4">
        <v>180960</v>
      </c>
      <c r="E206" s="4">
        <v>85351</v>
      </c>
    </row>
    <row r="207" spans="1:5" x14ac:dyDescent="0.3">
      <c r="A207" s="2" t="s">
        <v>19</v>
      </c>
      <c r="B207" s="3" t="s">
        <v>38</v>
      </c>
      <c r="C207" s="3" t="s">
        <v>13</v>
      </c>
      <c r="D207" s="4">
        <v>183129</v>
      </c>
      <c r="E207" s="4">
        <v>130350</v>
      </c>
    </row>
    <row r="208" spans="1:5" x14ac:dyDescent="0.3">
      <c r="A208" s="2" t="s">
        <v>19</v>
      </c>
      <c r="B208" s="3" t="s">
        <v>36</v>
      </c>
      <c r="C208" s="3" t="s">
        <v>2</v>
      </c>
      <c r="D208" s="4">
        <v>45425</v>
      </c>
      <c r="E208" s="4">
        <v>22072</v>
      </c>
    </row>
    <row r="209" spans="1:5" x14ac:dyDescent="0.3">
      <c r="A209" s="2" t="s">
        <v>19</v>
      </c>
      <c r="B209" s="3" t="s">
        <v>36</v>
      </c>
      <c r="C209" s="3" t="s">
        <v>3</v>
      </c>
      <c r="D209" s="4">
        <v>43722</v>
      </c>
      <c r="E209" s="4">
        <v>19949</v>
      </c>
    </row>
    <row r="210" spans="1:5" x14ac:dyDescent="0.3">
      <c r="A210" s="2" t="s">
        <v>19</v>
      </c>
      <c r="B210" s="3" t="s">
        <v>36</v>
      </c>
      <c r="C210" s="3" t="s">
        <v>4</v>
      </c>
      <c r="D210" s="4">
        <v>57125</v>
      </c>
      <c r="E210" s="4">
        <v>24133</v>
      </c>
    </row>
    <row r="211" spans="1:5" x14ac:dyDescent="0.3">
      <c r="A211" s="2" t="s">
        <v>19</v>
      </c>
      <c r="B211" s="3" t="s">
        <v>36</v>
      </c>
      <c r="C211" s="3" t="s">
        <v>5</v>
      </c>
      <c r="D211" s="4">
        <v>65389</v>
      </c>
      <c r="E211" s="4">
        <v>25086</v>
      </c>
    </row>
    <row r="212" spans="1:5" x14ac:dyDescent="0.3">
      <c r="A212" s="2" t="s">
        <v>19</v>
      </c>
      <c r="B212" s="3" t="s">
        <v>36</v>
      </c>
      <c r="C212" s="3" t="s">
        <v>6</v>
      </c>
      <c r="D212" s="4">
        <v>65859</v>
      </c>
      <c r="E212" s="4">
        <v>26534</v>
      </c>
    </row>
    <row r="213" spans="1:5" x14ac:dyDescent="0.3">
      <c r="A213" s="2" t="s">
        <v>19</v>
      </c>
      <c r="B213" s="3" t="s">
        <v>36</v>
      </c>
      <c r="C213" s="3" t="s">
        <v>7</v>
      </c>
      <c r="D213" s="4">
        <v>64088</v>
      </c>
      <c r="E213" s="4">
        <v>26039</v>
      </c>
    </row>
    <row r="214" spans="1:5" x14ac:dyDescent="0.3">
      <c r="A214" s="2" t="s">
        <v>19</v>
      </c>
      <c r="B214" s="3" t="s">
        <v>36</v>
      </c>
      <c r="C214" s="3" t="s">
        <v>8</v>
      </c>
      <c r="D214" s="4">
        <v>56595</v>
      </c>
      <c r="E214" s="4">
        <v>26835</v>
      </c>
    </row>
    <row r="215" spans="1:5" x14ac:dyDescent="0.3">
      <c r="A215" s="2" t="s">
        <v>19</v>
      </c>
      <c r="B215" s="3" t="s">
        <v>36</v>
      </c>
      <c r="C215" s="3" t="s">
        <v>9</v>
      </c>
      <c r="D215" s="4">
        <v>47395</v>
      </c>
      <c r="E215" s="4">
        <v>28285</v>
      </c>
    </row>
    <row r="216" spans="1:5" x14ac:dyDescent="0.3">
      <c r="A216" s="2" t="s">
        <v>19</v>
      </c>
      <c r="B216" s="3" t="s">
        <v>36</v>
      </c>
      <c r="C216" s="3" t="s">
        <v>10</v>
      </c>
      <c r="D216" s="4">
        <v>50236</v>
      </c>
      <c r="E216" s="4">
        <v>19829</v>
      </c>
    </row>
    <row r="217" spans="1:5" x14ac:dyDescent="0.3">
      <c r="A217" s="2" t="s">
        <v>19</v>
      </c>
      <c r="B217" s="3" t="s">
        <v>36</v>
      </c>
      <c r="C217" s="3" t="s">
        <v>11</v>
      </c>
      <c r="D217" s="4">
        <v>62179</v>
      </c>
      <c r="E217" s="4">
        <v>26333</v>
      </c>
    </row>
    <row r="218" spans="1:5" x14ac:dyDescent="0.3">
      <c r="A218" s="2" t="s">
        <v>19</v>
      </c>
      <c r="B218" s="3" t="s">
        <v>36</v>
      </c>
      <c r="C218" s="3" t="s">
        <v>12</v>
      </c>
      <c r="D218" s="4">
        <v>69774</v>
      </c>
      <c r="E218" s="4">
        <v>28965</v>
      </c>
    </row>
    <row r="219" spans="1:5" x14ac:dyDescent="0.3">
      <c r="A219" s="2" t="s">
        <v>19</v>
      </c>
      <c r="B219" s="3" t="s">
        <v>36</v>
      </c>
      <c r="C219" s="3" t="s">
        <v>13</v>
      </c>
      <c r="D219" s="4">
        <v>70341</v>
      </c>
      <c r="E219" s="4">
        <v>47475</v>
      </c>
    </row>
    <row r="220" spans="1:5" x14ac:dyDescent="0.3">
      <c r="A220" s="2" t="s">
        <v>19</v>
      </c>
      <c r="B220" s="3" t="s">
        <v>35</v>
      </c>
      <c r="C220" s="3" t="s">
        <v>2</v>
      </c>
      <c r="D220" s="4">
        <v>128026</v>
      </c>
      <c r="E220" s="4">
        <v>61150</v>
      </c>
    </row>
    <row r="221" spans="1:5" x14ac:dyDescent="0.3">
      <c r="A221" s="2" t="s">
        <v>19</v>
      </c>
      <c r="B221" s="3" t="s">
        <v>35</v>
      </c>
      <c r="C221" s="3" t="s">
        <v>3</v>
      </c>
      <c r="D221" s="4">
        <v>107755</v>
      </c>
      <c r="E221" s="4">
        <v>50456</v>
      </c>
    </row>
    <row r="222" spans="1:5" x14ac:dyDescent="0.3">
      <c r="A222" s="2" t="s">
        <v>19</v>
      </c>
      <c r="B222" s="3" t="s">
        <v>35</v>
      </c>
      <c r="C222" s="3" t="s">
        <v>4</v>
      </c>
      <c r="D222" s="4">
        <v>157007</v>
      </c>
      <c r="E222" s="4">
        <v>75056</v>
      </c>
    </row>
    <row r="223" spans="1:5" x14ac:dyDescent="0.3">
      <c r="A223" s="2" t="s">
        <v>19</v>
      </c>
      <c r="B223" s="3" t="s">
        <v>35</v>
      </c>
      <c r="C223" s="3" t="s">
        <v>5</v>
      </c>
      <c r="D223" s="4">
        <v>242974</v>
      </c>
      <c r="E223" s="4">
        <v>79128</v>
      </c>
    </row>
    <row r="224" spans="1:5" x14ac:dyDescent="0.3">
      <c r="A224" s="2" t="s">
        <v>19</v>
      </c>
      <c r="B224" s="3" t="s">
        <v>35</v>
      </c>
      <c r="C224" s="3" t="s">
        <v>6</v>
      </c>
      <c r="D224" s="4">
        <v>223867</v>
      </c>
      <c r="E224" s="4">
        <v>77079</v>
      </c>
    </row>
    <row r="225" spans="1:5" x14ac:dyDescent="0.3">
      <c r="A225" s="2" t="s">
        <v>19</v>
      </c>
      <c r="B225" s="3" t="s">
        <v>35</v>
      </c>
      <c r="C225" s="3" t="s">
        <v>7</v>
      </c>
      <c r="D225" s="4">
        <v>184685</v>
      </c>
      <c r="E225" s="4">
        <v>63660</v>
      </c>
    </row>
    <row r="226" spans="1:5" x14ac:dyDescent="0.3">
      <c r="A226" s="2" t="s">
        <v>19</v>
      </c>
      <c r="B226" s="3" t="s">
        <v>35</v>
      </c>
      <c r="C226" s="3" t="s">
        <v>8</v>
      </c>
      <c r="D226" s="4">
        <v>165422</v>
      </c>
      <c r="E226" s="4">
        <v>67282</v>
      </c>
    </row>
    <row r="227" spans="1:5" x14ac:dyDescent="0.3">
      <c r="A227" s="2" t="s">
        <v>19</v>
      </c>
      <c r="B227" s="3" t="s">
        <v>35</v>
      </c>
      <c r="C227" s="3" t="s">
        <v>9</v>
      </c>
      <c r="D227" s="4">
        <v>157015</v>
      </c>
      <c r="E227" s="4">
        <v>78621</v>
      </c>
    </row>
    <row r="228" spans="1:5" x14ac:dyDescent="0.3">
      <c r="A228" s="2" t="s">
        <v>19</v>
      </c>
      <c r="B228" s="3" t="s">
        <v>35</v>
      </c>
      <c r="C228" s="3" t="s">
        <v>10</v>
      </c>
      <c r="D228" s="4">
        <v>226446</v>
      </c>
      <c r="E228" s="4">
        <v>76938</v>
      </c>
    </row>
    <row r="229" spans="1:5" x14ac:dyDescent="0.3">
      <c r="A229" s="2" t="s">
        <v>19</v>
      </c>
      <c r="B229" s="3" t="s">
        <v>35</v>
      </c>
      <c r="C229" s="3" t="s">
        <v>11</v>
      </c>
      <c r="D229" s="4">
        <v>224722</v>
      </c>
      <c r="E229" s="4">
        <v>94329</v>
      </c>
    </row>
    <row r="230" spans="1:5" x14ac:dyDescent="0.3">
      <c r="A230" s="2" t="s">
        <v>19</v>
      </c>
      <c r="B230" s="3" t="s">
        <v>35</v>
      </c>
      <c r="C230" s="3" t="s">
        <v>12</v>
      </c>
      <c r="D230" s="4">
        <v>216743</v>
      </c>
      <c r="E230" s="4">
        <v>121548</v>
      </c>
    </row>
    <row r="231" spans="1:5" x14ac:dyDescent="0.3">
      <c r="A231" s="2" t="s">
        <v>19</v>
      </c>
      <c r="B231" s="3" t="s">
        <v>35</v>
      </c>
      <c r="C231" s="3" t="s">
        <v>13</v>
      </c>
      <c r="D231" s="4">
        <v>231495</v>
      </c>
      <c r="E231" s="4">
        <v>222087</v>
      </c>
    </row>
    <row r="232" spans="1:5" x14ac:dyDescent="0.3">
      <c r="A232" s="2" t="s">
        <v>19</v>
      </c>
      <c r="B232" s="3" t="s">
        <v>34</v>
      </c>
      <c r="C232" s="3" t="s">
        <v>2</v>
      </c>
      <c r="D232" s="4">
        <v>5624</v>
      </c>
      <c r="E232" s="4">
        <v>779</v>
      </c>
    </row>
    <row r="233" spans="1:5" x14ac:dyDescent="0.3">
      <c r="A233" s="2" t="s">
        <v>19</v>
      </c>
      <c r="B233" s="3" t="s">
        <v>34</v>
      </c>
      <c r="C233" s="3" t="s">
        <v>3</v>
      </c>
      <c r="D233" s="4">
        <v>5693</v>
      </c>
      <c r="E233" s="4">
        <v>663</v>
      </c>
    </row>
    <row r="234" spans="1:5" x14ac:dyDescent="0.3">
      <c r="A234" s="2" t="s">
        <v>19</v>
      </c>
      <c r="B234" s="3" t="s">
        <v>34</v>
      </c>
      <c r="C234" s="3" t="s">
        <v>4</v>
      </c>
      <c r="D234" s="4">
        <v>5934</v>
      </c>
      <c r="E234" s="4">
        <v>609</v>
      </c>
    </row>
    <row r="235" spans="1:5" x14ac:dyDescent="0.3">
      <c r="A235" s="2" t="s">
        <v>19</v>
      </c>
      <c r="B235" s="3" t="s">
        <v>34</v>
      </c>
      <c r="C235" s="3" t="s">
        <v>5</v>
      </c>
      <c r="D235" s="4">
        <v>5780</v>
      </c>
      <c r="E235" s="4">
        <v>753</v>
      </c>
    </row>
    <row r="236" spans="1:5" x14ac:dyDescent="0.3">
      <c r="A236" s="2" t="s">
        <v>19</v>
      </c>
      <c r="B236" s="3" t="s">
        <v>34</v>
      </c>
      <c r="C236" s="3" t="s">
        <v>6</v>
      </c>
      <c r="D236" s="4">
        <v>5072</v>
      </c>
      <c r="E236" s="4">
        <v>1067</v>
      </c>
    </row>
    <row r="237" spans="1:5" x14ac:dyDescent="0.3">
      <c r="A237" s="2" t="s">
        <v>19</v>
      </c>
      <c r="B237" s="3" t="s">
        <v>34</v>
      </c>
      <c r="C237" s="3" t="s">
        <v>7</v>
      </c>
      <c r="D237" s="4">
        <v>19732</v>
      </c>
      <c r="E237" s="4">
        <v>2926</v>
      </c>
    </row>
    <row r="238" spans="1:5" x14ac:dyDescent="0.3">
      <c r="A238" s="2" t="s">
        <v>19</v>
      </c>
      <c r="B238" s="3" t="s">
        <v>34</v>
      </c>
      <c r="C238" s="3" t="s">
        <v>8</v>
      </c>
      <c r="D238" s="4">
        <v>25521</v>
      </c>
      <c r="E238" s="4">
        <v>7499</v>
      </c>
    </row>
    <row r="239" spans="1:5" x14ac:dyDescent="0.3">
      <c r="A239" s="2" t="s">
        <v>19</v>
      </c>
      <c r="B239" s="3" t="s">
        <v>34</v>
      </c>
      <c r="C239" s="3" t="s">
        <v>9</v>
      </c>
      <c r="D239" s="4">
        <v>20857</v>
      </c>
      <c r="E239" s="4">
        <v>14153</v>
      </c>
    </row>
    <row r="240" spans="1:5" x14ac:dyDescent="0.3">
      <c r="A240" s="2" t="s">
        <v>19</v>
      </c>
      <c r="B240" s="3" t="s">
        <v>34</v>
      </c>
      <c r="C240" s="3" t="s">
        <v>10</v>
      </c>
      <c r="D240" s="4">
        <v>8442</v>
      </c>
      <c r="E240" s="4">
        <v>2413</v>
      </c>
    </row>
    <row r="241" spans="1:5" x14ac:dyDescent="0.3">
      <c r="A241" s="2" t="s">
        <v>19</v>
      </c>
      <c r="B241" s="3" t="s">
        <v>34</v>
      </c>
      <c r="C241" s="3" t="s">
        <v>11</v>
      </c>
      <c r="D241" s="4">
        <v>11066</v>
      </c>
      <c r="E241" s="4">
        <v>2552</v>
      </c>
    </row>
    <row r="242" spans="1:5" x14ac:dyDescent="0.3">
      <c r="A242" s="2" t="s">
        <v>19</v>
      </c>
      <c r="B242" s="3" t="s">
        <v>34</v>
      </c>
      <c r="C242" s="3" t="s">
        <v>12</v>
      </c>
      <c r="D242" s="4">
        <v>10006</v>
      </c>
      <c r="E242" s="4">
        <v>2659</v>
      </c>
    </row>
    <row r="243" spans="1:5" x14ac:dyDescent="0.3">
      <c r="A243" s="2" t="s">
        <v>19</v>
      </c>
      <c r="B243" s="3" t="s">
        <v>34</v>
      </c>
      <c r="C243" s="3" t="s">
        <v>13</v>
      </c>
      <c r="D243" s="4">
        <v>7162</v>
      </c>
      <c r="E243" s="4">
        <v>1850</v>
      </c>
    </row>
    <row r="244" spans="1:5" x14ac:dyDescent="0.3">
      <c r="A244" s="2" t="s">
        <v>20</v>
      </c>
      <c r="B244" s="3" t="s">
        <v>37</v>
      </c>
      <c r="C244" s="3" t="s">
        <v>2</v>
      </c>
      <c r="D244" s="4">
        <v>91129</v>
      </c>
      <c r="E244" s="4">
        <v>34515</v>
      </c>
    </row>
    <row r="245" spans="1:5" x14ac:dyDescent="0.3">
      <c r="A245" s="2" t="s">
        <v>20</v>
      </c>
      <c r="B245" s="3" t="s">
        <v>37</v>
      </c>
      <c r="C245" s="3" t="s">
        <v>3</v>
      </c>
      <c r="D245" s="4">
        <v>108087</v>
      </c>
      <c r="E245" s="4">
        <v>42088</v>
      </c>
    </row>
    <row r="246" spans="1:5" x14ac:dyDescent="0.3">
      <c r="A246" s="2" t="s">
        <v>20</v>
      </c>
      <c r="B246" s="3" t="s">
        <v>37</v>
      </c>
      <c r="C246" s="3" t="s">
        <v>4</v>
      </c>
      <c r="D246" s="4">
        <v>126873</v>
      </c>
      <c r="E246" s="4">
        <v>57945</v>
      </c>
    </row>
    <row r="247" spans="1:5" x14ac:dyDescent="0.3">
      <c r="A247" s="2" t="s">
        <v>20</v>
      </c>
      <c r="B247" s="3" t="s">
        <v>37</v>
      </c>
      <c r="C247" s="3" t="s">
        <v>5</v>
      </c>
      <c r="D247" s="4">
        <v>126877</v>
      </c>
      <c r="E247" s="4">
        <v>45073</v>
      </c>
    </row>
    <row r="248" spans="1:5" x14ac:dyDescent="0.3">
      <c r="A248" s="2" t="s">
        <v>20</v>
      </c>
      <c r="B248" s="3" t="s">
        <v>37</v>
      </c>
      <c r="C248" s="3" t="s">
        <v>6</v>
      </c>
      <c r="D248" s="4">
        <v>120382</v>
      </c>
      <c r="E248" s="4">
        <v>49381</v>
      </c>
    </row>
    <row r="249" spans="1:5" x14ac:dyDescent="0.3">
      <c r="A249" s="2" t="s">
        <v>20</v>
      </c>
      <c r="B249" s="3" t="s">
        <v>37</v>
      </c>
      <c r="C249" s="3" t="s">
        <v>7</v>
      </c>
      <c r="D249" s="4">
        <v>126651</v>
      </c>
      <c r="E249" s="4">
        <v>53824</v>
      </c>
    </row>
    <row r="250" spans="1:5" x14ac:dyDescent="0.3">
      <c r="A250" s="2" t="s">
        <v>20</v>
      </c>
      <c r="B250" s="3" t="s">
        <v>37</v>
      </c>
      <c r="C250" s="3" t="s">
        <v>8</v>
      </c>
      <c r="D250" s="4">
        <v>119932</v>
      </c>
      <c r="E250" s="4">
        <v>46569</v>
      </c>
    </row>
    <row r="251" spans="1:5" x14ac:dyDescent="0.3">
      <c r="A251" s="2" t="s">
        <v>20</v>
      </c>
      <c r="B251" s="3" t="s">
        <v>37</v>
      </c>
      <c r="C251" s="3" t="s">
        <v>9</v>
      </c>
      <c r="D251" s="4">
        <v>120105</v>
      </c>
      <c r="E251" s="4">
        <v>53783</v>
      </c>
    </row>
    <row r="252" spans="1:5" x14ac:dyDescent="0.3">
      <c r="A252" s="2" t="s">
        <v>20</v>
      </c>
      <c r="B252" s="3" t="s">
        <v>37</v>
      </c>
      <c r="C252" s="3" t="s">
        <v>10</v>
      </c>
      <c r="D252" s="4">
        <v>135188</v>
      </c>
      <c r="E252" s="4">
        <v>47704</v>
      </c>
    </row>
    <row r="253" spans="1:5" x14ac:dyDescent="0.3">
      <c r="A253" s="2" t="s">
        <v>20</v>
      </c>
      <c r="B253" s="3" t="s">
        <v>37</v>
      </c>
      <c r="C253" s="3" t="s">
        <v>11</v>
      </c>
      <c r="D253" s="4">
        <v>121111</v>
      </c>
      <c r="E253" s="4">
        <v>43767</v>
      </c>
    </row>
    <row r="254" spans="1:5" x14ac:dyDescent="0.3">
      <c r="A254" s="2" t="s">
        <v>20</v>
      </c>
      <c r="B254" s="3" t="s">
        <v>37</v>
      </c>
      <c r="C254" s="3" t="s">
        <v>12</v>
      </c>
      <c r="D254" s="4">
        <v>113298</v>
      </c>
      <c r="E254" s="4">
        <v>49567</v>
      </c>
    </row>
    <row r="255" spans="1:5" x14ac:dyDescent="0.3">
      <c r="A255" s="2" t="s">
        <v>20</v>
      </c>
      <c r="B255" s="3" t="s">
        <v>37</v>
      </c>
      <c r="C255" s="3" t="s">
        <v>13</v>
      </c>
      <c r="D255" s="4">
        <v>134863</v>
      </c>
      <c r="E255" s="4">
        <v>83149</v>
      </c>
    </row>
    <row r="256" spans="1:5" x14ac:dyDescent="0.3">
      <c r="A256" s="2" t="s">
        <v>20</v>
      </c>
      <c r="B256" s="3" t="s">
        <v>38</v>
      </c>
      <c r="C256" s="3" t="s">
        <v>2</v>
      </c>
      <c r="D256" s="4">
        <v>116052</v>
      </c>
      <c r="E256" s="4">
        <v>30752</v>
      </c>
    </row>
    <row r="257" spans="1:5" x14ac:dyDescent="0.3">
      <c r="A257" s="2" t="s">
        <v>20</v>
      </c>
      <c r="B257" s="3" t="s">
        <v>38</v>
      </c>
      <c r="C257" s="3" t="s">
        <v>3</v>
      </c>
      <c r="D257" s="4">
        <v>152803</v>
      </c>
      <c r="E257" s="4">
        <v>40027</v>
      </c>
    </row>
    <row r="258" spans="1:5" x14ac:dyDescent="0.3">
      <c r="A258" s="2" t="s">
        <v>20</v>
      </c>
      <c r="B258" s="3" t="s">
        <v>38</v>
      </c>
      <c r="C258" s="3" t="s">
        <v>4</v>
      </c>
      <c r="D258" s="4">
        <v>166334</v>
      </c>
      <c r="E258" s="4">
        <v>53445</v>
      </c>
    </row>
    <row r="259" spans="1:5" x14ac:dyDescent="0.3">
      <c r="A259" s="2" t="s">
        <v>20</v>
      </c>
      <c r="B259" s="3" t="s">
        <v>38</v>
      </c>
      <c r="C259" s="3" t="s">
        <v>5</v>
      </c>
      <c r="D259" s="4">
        <v>149216</v>
      </c>
      <c r="E259" s="4">
        <v>44925</v>
      </c>
    </row>
    <row r="260" spans="1:5" x14ac:dyDescent="0.3">
      <c r="A260" s="2" t="s">
        <v>20</v>
      </c>
      <c r="B260" s="3" t="s">
        <v>38</v>
      </c>
      <c r="C260" s="3" t="s">
        <v>6</v>
      </c>
      <c r="D260" s="4">
        <v>132188</v>
      </c>
      <c r="E260" s="4">
        <v>42938</v>
      </c>
    </row>
    <row r="261" spans="1:5" x14ac:dyDescent="0.3">
      <c r="A261" s="2" t="s">
        <v>20</v>
      </c>
      <c r="B261" s="3" t="s">
        <v>38</v>
      </c>
      <c r="C261" s="3" t="s">
        <v>7</v>
      </c>
      <c r="D261" s="4">
        <v>119530</v>
      </c>
      <c r="E261" s="4">
        <v>35322</v>
      </c>
    </row>
    <row r="262" spans="1:5" x14ac:dyDescent="0.3">
      <c r="A262" s="2" t="s">
        <v>20</v>
      </c>
      <c r="B262" s="3" t="s">
        <v>38</v>
      </c>
      <c r="C262" s="3" t="s">
        <v>8</v>
      </c>
      <c r="D262" s="4">
        <v>123999</v>
      </c>
      <c r="E262" s="4">
        <v>42301</v>
      </c>
    </row>
    <row r="263" spans="1:5" x14ac:dyDescent="0.3">
      <c r="A263" s="2" t="s">
        <v>20</v>
      </c>
      <c r="B263" s="3" t="s">
        <v>38</v>
      </c>
      <c r="C263" s="3" t="s">
        <v>9</v>
      </c>
      <c r="D263" s="4">
        <v>121959</v>
      </c>
      <c r="E263" s="4">
        <v>52057</v>
      </c>
    </row>
    <row r="264" spans="1:5" x14ac:dyDescent="0.3">
      <c r="A264" s="2" t="s">
        <v>20</v>
      </c>
      <c r="B264" s="3" t="s">
        <v>38</v>
      </c>
      <c r="C264" s="3" t="s">
        <v>10</v>
      </c>
      <c r="D264" s="4">
        <v>126488</v>
      </c>
      <c r="E264" s="4">
        <v>34311</v>
      </c>
    </row>
    <row r="265" spans="1:5" x14ac:dyDescent="0.3">
      <c r="A265" s="2" t="s">
        <v>20</v>
      </c>
      <c r="B265" s="3" t="s">
        <v>38</v>
      </c>
      <c r="C265" s="3" t="s">
        <v>11</v>
      </c>
      <c r="D265" s="4">
        <v>127473</v>
      </c>
      <c r="E265" s="4">
        <v>40372</v>
      </c>
    </row>
    <row r="266" spans="1:5" x14ac:dyDescent="0.3">
      <c r="A266" s="2" t="s">
        <v>20</v>
      </c>
      <c r="B266" s="3" t="s">
        <v>38</v>
      </c>
      <c r="C266" s="3" t="s">
        <v>12</v>
      </c>
      <c r="D266" s="4">
        <v>128891</v>
      </c>
      <c r="E266" s="4">
        <v>50534</v>
      </c>
    </row>
    <row r="267" spans="1:5" x14ac:dyDescent="0.3">
      <c r="A267" s="2" t="s">
        <v>20</v>
      </c>
      <c r="B267" s="3" t="s">
        <v>38</v>
      </c>
      <c r="C267" s="3" t="s">
        <v>13</v>
      </c>
      <c r="D267" s="4">
        <v>129156</v>
      </c>
      <c r="E267" s="4">
        <v>77142</v>
      </c>
    </row>
    <row r="268" spans="1:5" x14ac:dyDescent="0.3">
      <c r="A268" s="2" t="s">
        <v>20</v>
      </c>
      <c r="B268" s="3" t="s">
        <v>36</v>
      </c>
      <c r="C268" s="3" t="s">
        <v>2</v>
      </c>
      <c r="D268" s="4">
        <v>37684</v>
      </c>
      <c r="E268" s="4">
        <v>12156</v>
      </c>
    </row>
    <row r="269" spans="1:5" x14ac:dyDescent="0.3">
      <c r="A269" s="2" t="s">
        <v>20</v>
      </c>
      <c r="B269" s="3" t="s">
        <v>36</v>
      </c>
      <c r="C269" s="3" t="s">
        <v>3</v>
      </c>
      <c r="D269" s="4">
        <v>38025</v>
      </c>
      <c r="E269" s="4">
        <v>11320</v>
      </c>
    </row>
    <row r="270" spans="1:5" x14ac:dyDescent="0.3">
      <c r="A270" s="2" t="s">
        <v>20</v>
      </c>
      <c r="B270" s="3" t="s">
        <v>36</v>
      </c>
      <c r="C270" s="3" t="s">
        <v>4</v>
      </c>
      <c r="D270" s="4">
        <v>41528</v>
      </c>
      <c r="E270" s="4">
        <v>13559</v>
      </c>
    </row>
    <row r="271" spans="1:5" x14ac:dyDescent="0.3">
      <c r="A271" s="2" t="s">
        <v>20</v>
      </c>
      <c r="B271" s="3" t="s">
        <v>36</v>
      </c>
      <c r="C271" s="3" t="s">
        <v>5</v>
      </c>
      <c r="D271" s="4">
        <v>48361</v>
      </c>
      <c r="E271" s="4">
        <v>15115</v>
      </c>
    </row>
    <row r="272" spans="1:5" x14ac:dyDescent="0.3">
      <c r="A272" s="2" t="s">
        <v>20</v>
      </c>
      <c r="B272" s="3" t="s">
        <v>36</v>
      </c>
      <c r="C272" s="3" t="s">
        <v>6</v>
      </c>
      <c r="D272" s="4">
        <v>47769</v>
      </c>
      <c r="E272" s="4">
        <v>15244</v>
      </c>
    </row>
    <row r="273" spans="1:5" x14ac:dyDescent="0.3">
      <c r="A273" s="2" t="s">
        <v>20</v>
      </c>
      <c r="B273" s="3" t="s">
        <v>36</v>
      </c>
      <c r="C273" s="3" t="s">
        <v>7</v>
      </c>
      <c r="D273" s="4">
        <v>44215</v>
      </c>
      <c r="E273" s="4">
        <v>14463</v>
      </c>
    </row>
    <row r="274" spans="1:5" x14ac:dyDescent="0.3">
      <c r="A274" s="2" t="s">
        <v>20</v>
      </c>
      <c r="B274" s="3" t="s">
        <v>36</v>
      </c>
      <c r="C274" s="3" t="s">
        <v>8</v>
      </c>
      <c r="D274" s="4">
        <v>39460</v>
      </c>
      <c r="E274" s="4">
        <v>15399</v>
      </c>
    </row>
    <row r="275" spans="1:5" x14ac:dyDescent="0.3">
      <c r="A275" s="2" t="s">
        <v>20</v>
      </c>
      <c r="B275" s="3" t="s">
        <v>36</v>
      </c>
      <c r="C275" s="3" t="s">
        <v>9</v>
      </c>
      <c r="D275" s="4">
        <v>36593</v>
      </c>
      <c r="E275" s="4">
        <v>16339</v>
      </c>
    </row>
    <row r="276" spans="1:5" x14ac:dyDescent="0.3">
      <c r="A276" s="2" t="s">
        <v>20</v>
      </c>
      <c r="B276" s="3" t="s">
        <v>36</v>
      </c>
      <c r="C276" s="3" t="s">
        <v>10</v>
      </c>
      <c r="D276" s="4">
        <v>34670</v>
      </c>
      <c r="E276" s="4">
        <v>12401</v>
      </c>
    </row>
    <row r="277" spans="1:5" x14ac:dyDescent="0.3">
      <c r="A277" s="2" t="s">
        <v>20</v>
      </c>
      <c r="B277" s="3" t="s">
        <v>36</v>
      </c>
      <c r="C277" s="3" t="s">
        <v>11</v>
      </c>
      <c r="D277" s="4">
        <v>44167</v>
      </c>
      <c r="E277" s="4">
        <v>15139</v>
      </c>
    </row>
    <row r="278" spans="1:5" x14ac:dyDescent="0.3">
      <c r="A278" s="2" t="s">
        <v>20</v>
      </c>
      <c r="B278" s="3" t="s">
        <v>36</v>
      </c>
      <c r="C278" s="3" t="s">
        <v>12</v>
      </c>
      <c r="D278" s="4">
        <v>52091</v>
      </c>
      <c r="E278" s="4">
        <v>18772</v>
      </c>
    </row>
    <row r="279" spans="1:5" x14ac:dyDescent="0.3">
      <c r="A279" s="2" t="s">
        <v>20</v>
      </c>
      <c r="B279" s="3" t="s">
        <v>36</v>
      </c>
      <c r="C279" s="3" t="s">
        <v>13</v>
      </c>
      <c r="D279" s="4">
        <v>47773</v>
      </c>
      <c r="E279" s="4">
        <v>32325</v>
      </c>
    </row>
    <row r="280" spans="1:5" x14ac:dyDescent="0.3">
      <c r="A280" s="2" t="s">
        <v>20</v>
      </c>
      <c r="B280" s="3" t="s">
        <v>35</v>
      </c>
      <c r="C280" s="3" t="s">
        <v>2</v>
      </c>
      <c r="D280" s="4">
        <v>94038</v>
      </c>
      <c r="E280" s="4">
        <v>24777</v>
      </c>
    </row>
    <row r="281" spans="1:5" x14ac:dyDescent="0.3">
      <c r="A281" s="2" t="s">
        <v>20</v>
      </c>
      <c r="B281" s="3" t="s">
        <v>35</v>
      </c>
      <c r="C281" s="3" t="s">
        <v>3</v>
      </c>
      <c r="D281" s="4">
        <v>89011</v>
      </c>
      <c r="E281" s="4">
        <v>21631</v>
      </c>
    </row>
    <row r="282" spans="1:5" x14ac:dyDescent="0.3">
      <c r="A282" s="2" t="s">
        <v>20</v>
      </c>
      <c r="B282" s="3" t="s">
        <v>35</v>
      </c>
      <c r="C282" s="3" t="s">
        <v>4</v>
      </c>
      <c r="D282" s="4">
        <v>113067</v>
      </c>
      <c r="E282" s="4">
        <v>37312</v>
      </c>
    </row>
    <row r="283" spans="1:5" x14ac:dyDescent="0.3">
      <c r="A283" s="2" t="s">
        <v>20</v>
      </c>
      <c r="B283" s="3" t="s">
        <v>35</v>
      </c>
      <c r="C283" s="3" t="s">
        <v>5</v>
      </c>
      <c r="D283" s="4">
        <v>151938</v>
      </c>
      <c r="E283" s="4">
        <v>36355</v>
      </c>
    </row>
    <row r="284" spans="1:5" x14ac:dyDescent="0.3">
      <c r="A284" s="2" t="s">
        <v>20</v>
      </c>
      <c r="B284" s="3" t="s">
        <v>35</v>
      </c>
      <c r="C284" s="3" t="s">
        <v>6</v>
      </c>
      <c r="D284" s="4">
        <v>137842</v>
      </c>
      <c r="E284" s="4">
        <v>33678</v>
      </c>
    </row>
    <row r="285" spans="1:5" x14ac:dyDescent="0.3">
      <c r="A285" s="2" t="s">
        <v>20</v>
      </c>
      <c r="B285" s="3" t="s">
        <v>35</v>
      </c>
      <c r="C285" s="3" t="s">
        <v>7</v>
      </c>
      <c r="D285" s="4">
        <v>119550</v>
      </c>
      <c r="E285" s="4">
        <v>29005</v>
      </c>
    </row>
    <row r="286" spans="1:5" x14ac:dyDescent="0.3">
      <c r="A286" s="2" t="s">
        <v>20</v>
      </c>
      <c r="B286" s="3" t="s">
        <v>35</v>
      </c>
      <c r="C286" s="3" t="s">
        <v>8</v>
      </c>
      <c r="D286" s="4">
        <v>110023</v>
      </c>
      <c r="E286" s="4">
        <v>28744</v>
      </c>
    </row>
    <row r="287" spans="1:5" x14ac:dyDescent="0.3">
      <c r="A287" s="2" t="s">
        <v>20</v>
      </c>
      <c r="B287" s="3" t="s">
        <v>35</v>
      </c>
      <c r="C287" s="3" t="s">
        <v>9</v>
      </c>
      <c r="D287" s="4">
        <v>109634</v>
      </c>
      <c r="E287" s="4">
        <v>29234</v>
      </c>
    </row>
    <row r="288" spans="1:5" x14ac:dyDescent="0.3">
      <c r="A288" s="2" t="s">
        <v>20</v>
      </c>
      <c r="B288" s="3" t="s">
        <v>35</v>
      </c>
      <c r="C288" s="3" t="s">
        <v>10</v>
      </c>
      <c r="D288" s="4">
        <v>143567</v>
      </c>
      <c r="E288" s="4">
        <v>28337</v>
      </c>
    </row>
    <row r="289" spans="1:5" x14ac:dyDescent="0.3">
      <c r="A289" s="2" t="s">
        <v>20</v>
      </c>
      <c r="B289" s="3" t="s">
        <v>35</v>
      </c>
      <c r="C289" s="3" t="s">
        <v>11</v>
      </c>
      <c r="D289" s="4">
        <v>150521</v>
      </c>
      <c r="E289" s="4">
        <v>37965</v>
      </c>
    </row>
    <row r="290" spans="1:5" x14ac:dyDescent="0.3">
      <c r="A290" s="2" t="s">
        <v>20</v>
      </c>
      <c r="B290" s="3" t="s">
        <v>35</v>
      </c>
      <c r="C290" s="3" t="s">
        <v>12</v>
      </c>
      <c r="D290" s="4">
        <v>148751</v>
      </c>
      <c r="E290" s="4">
        <v>54256</v>
      </c>
    </row>
    <row r="291" spans="1:5" x14ac:dyDescent="0.3">
      <c r="A291" s="2" t="s">
        <v>20</v>
      </c>
      <c r="B291" s="3" t="s">
        <v>35</v>
      </c>
      <c r="C291" s="3" t="s">
        <v>13</v>
      </c>
      <c r="D291" s="4">
        <v>141712</v>
      </c>
      <c r="E291" s="4">
        <v>104289</v>
      </c>
    </row>
    <row r="292" spans="1:5" x14ac:dyDescent="0.3">
      <c r="A292" s="2" t="s">
        <v>20</v>
      </c>
      <c r="B292" s="3" t="s">
        <v>34</v>
      </c>
      <c r="C292" s="3" t="s">
        <v>2</v>
      </c>
      <c r="D292" s="4">
        <v>3453</v>
      </c>
      <c r="E292" s="4">
        <v>482</v>
      </c>
    </row>
    <row r="293" spans="1:5" x14ac:dyDescent="0.3">
      <c r="A293" s="2" t="s">
        <v>20</v>
      </c>
      <c r="B293" s="3" t="s">
        <v>34</v>
      </c>
      <c r="C293" s="3" t="s">
        <v>3</v>
      </c>
      <c r="D293" s="4">
        <v>3683</v>
      </c>
      <c r="E293" s="4">
        <v>517</v>
      </c>
    </row>
    <row r="294" spans="1:5" x14ac:dyDescent="0.3">
      <c r="A294" s="2" t="s">
        <v>20</v>
      </c>
      <c r="B294" s="3" t="s">
        <v>34</v>
      </c>
      <c r="C294" s="3" t="s">
        <v>4</v>
      </c>
      <c r="D294" s="4">
        <v>3947</v>
      </c>
      <c r="E294" s="4">
        <v>581</v>
      </c>
    </row>
    <row r="295" spans="1:5" x14ac:dyDescent="0.3">
      <c r="A295" s="2" t="s">
        <v>20</v>
      </c>
      <c r="B295" s="3" t="s">
        <v>34</v>
      </c>
      <c r="C295" s="3" t="s">
        <v>5</v>
      </c>
      <c r="D295" s="4">
        <v>3811</v>
      </c>
      <c r="E295" s="4">
        <v>519</v>
      </c>
    </row>
    <row r="296" spans="1:5" x14ac:dyDescent="0.3">
      <c r="A296" s="2" t="s">
        <v>20</v>
      </c>
      <c r="B296" s="3" t="s">
        <v>34</v>
      </c>
      <c r="C296" s="3" t="s">
        <v>6</v>
      </c>
      <c r="D296" s="4">
        <v>3334</v>
      </c>
      <c r="E296" s="4">
        <v>829</v>
      </c>
    </row>
    <row r="297" spans="1:5" x14ac:dyDescent="0.3">
      <c r="A297" s="2" t="s">
        <v>20</v>
      </c>
      <c r="B297" s="3" t="s">
        <v>34</v>
      </c>
      <c r="C297" s="3" t="s">
        <v>7</v>
      </c>
      <c r="D297" s="4">
        <v>15284</v>
      </c>
      <c r="E297" s="4">
        <v>2241</v>
      </c>
    </row>
    <row r="298" spans="1:5" x14ac:dyDescent="0.3">
      <c r="A298" s="2" t="s">
        <v>20</v>
      </c>
      <c r="B298" s="3" t="s">
        <v>34</v>
      </c>
      <c r="C298" s="3" t="s">
        <v>8</v>
      </c>
      <c r="D298" s="4">
        <v>20971</v>
      </c>
      <c r="E298" s="4">
        <v>7200</v>
      </c>
    </row>
    <row r="299" spans="1:5" x14ac:dyDescent="0.3">
      <c r="A299" s="2" t="s">
        <v>20</v>
      </c>
      <c r="B299" s="3" t="s">
        <v>34</v>
      </c>
      <c r="C299" s="3" t="s">
        <v>9</v>
      </c>
      <c r="D299" s="4">
        <v>16111</v>
      </c>
      <c r="E299" s="4">
        <v>11036</v>
      </c>
    </row>
    <row r="300" spans="1:5" x14ac:dyDescent="0.3">
      <c r="A300" s="2" t="s">
        <v>20</v>
      </c>
      <c r="B300" s="3" t="s">
        <v>34</v>
      </c>
      <c r="C300" s="3" t="s">
        <v>10</v>
      </c>
      <c r="D300" s="4">
        <v>7482</v>
      </c>
      <c r="E300" s="4">
        <v>1477</v>
      </c>
    </row>
    <row r="301" spans="1:5" x14ac:dyDescent="0.3">
      <c r="A301" s="2" t="s">
        <v>20</v>
      </c>
      <c r="B301" s="3" t="s">
        <v>34</v>
      </c>
      <c r="C301" s="3" t="s">
        <v>11</v>
      </c>
      <c r="D301" s="4">
        <v>10168</v>
      </c>
      <c r="E301" s="4">
        <v>2503</v>
      </c>
    </row>
    <row r="302" spans="1:5" x14ac:dyDescent="0.3">
      <c r="A302" s="2" t="s">
        <v>20</v>
      </c>
      <c r="B302" s="3" t="s">
        <v>34</v>
      </c>
      <c r="C302" s="3" t="s">
        <v>12</v>
      </c>
      <c r="D302" s="4">
        <v>8703</v>
      </c>
      <c r="E302" s="4">
        <v>2830</v>
      </c>
    </row>
    <row r="303" spans="1:5" x14ac:dyDescent="0.3">
      <c r="A303" s="2" t="s">
        <v>20</v>
      </c>
      <c r="B303" s="3" t="s">
        <v>34</v>
      </c>
      <c r="C303" s="3" t="s">
        <v>13</v>
      </c>
      <c r="D303" s="4">
        <v>5738</v>
      </c>
      <c r="E303" s="4">
        <v>1680</v>
      </c>
    </row>
    <row r="304" spans="1:5" x14ac:dyDescent="0.3">
      <c r="A304" s="2" t="s">
        <v>21</v>
      </c>
      <c r="B304" s="3" t="s">
        <v>37</v>
      </c>
      <c r="C304" s="3" t="s">
        <v>2</v>
      </c>
      <c r="D304" s="4">
        <v>70918</v>
      </c>
      <c r="E304" s="4">
        <v>26220</v>
      </c>
    </row>
    <row r="305" spans="1:5" x14ac:dyDescent="0.3">
      <c r="A305" s="2" t="s">
        <v>21</v>
      </c>
      <c r="B305" s="3" t="s">
        <v>37</v>
      </c>
      <c r="C305" s="3" t="s">
        <v>3</v>
      </c>
      <c r="D305" s="4">
        <v>82121</v>
      </c>
      <c r="E305" s="4">
        <v>30216</v>
      </c>
    </row>
    <row r="306" spans="1:5" x14ac:dyDescent="0.3">
      <c r="A306" s="2" t="s">
        <v>21</v>
      </c>
      <c r="B306" s="3" t="s">
        <v>37</v>
      </c>
      <c r="C306" s="3" t="s">
        <v>4</v>
      </c>
      <c r="D306" s="4">
        <v>93781</v>
      </c>
      <c r="E306" s="4">
        <v>38522</v>
      </c>
    </row>
    <row r="307" spans="1:5" x14ac:dyDescent="0.3">
      <c r="A307" s="2" t="s">
        <v>21</v>
      </c>
      <c r="B307" s="3" t="s">
        <v>37</v>
      </c>
      <c r="C307" s="3" t="s">
        <v>5</v>
      </c>
      <c r="D307" s="4">
        <v>93499</v>
      </c>
      <c r="E307" s="4">
        <v>31607</v>
      </c>
    </row>
    <row r="308" spans="1:5" x14ac:dyDescent="0.3">
      <c r="A308" s="2" t="s">
        <v>21</v>
      </c>
      <c r="B308" s="3" t="s">
        <v>37</v>
      </c>
      <c r="C308" s="3" t="s">
        <v>6</v>
      </c>
      <c r="D308" s="4">
        <v>88235</v>
      </c>
      <c r="E308" s="4">
        <v>36100</v>
      </c>
    </row>
    <row r="309" spans="1:5" x14ac:dyDescent="0.3">
      <c r="A309" s="2" t="s">
        <v>21</v>
      </c>
      <c r="B309" s="3" t="s">
        <v>37</v>
      </c>
      <c r="C309" s="3" t="s">
        <v>7</v>
      </c>
      <c r="D309" s="4">
        <v>92418</v>
      </c>
      <c r="E309" s="4">
        <v>36675</v>
      </c>
    </row>
    <row r="310" spans="1:5" x14ac:dyDescent="0.3">
      <c r="A310" s="2" t="s">
        <v>21</v>
      </c>
      <c r="B310" s="3" t="s">
        <v>37</v>
      </c>
      <c r="C310" s="3" t="s">
        <v>8</v>
      </c>
      <c r="D310" s="4">
        <v>89258</v>
      </c>
      <c r="E310" s="4">
        <v>32423</v>
      </c>
    </row>
    <row r="311" spans="1:5" x14ac:dyDescent="0.3">
      <c r="A311" s="2" t="s">
        <v>21</v>
      </c>
      <c r="B311" s="3" t="s">
        <v>37</v>
      </c>
      <c r="C311" s="3" t="s">
        <v>9</v>
      </c>
      <c r="D311" s="4">
        <v>92251</v>
      </c>
      <c r="E311" s="4">
        <v>38093</v>
      </c>
    </row>
    <row r="312" spans="1:5" x14ac:dyDescent="0.3">
      <c r="A312" s="2" t="s">
        <v>21</v>
      </c>
      <c r="B312" s="3" t="s">
        <v>37</v>
      </c>
      <c r="C312" s="3" t="s">
        <v>10</v>
      </c>
      <c r="D312" s="4">
        <v>102037</v>
      </c>
      <c r="E312" s="4">
        <v>32757</v>
      </c>
    </row>
    <row r="313" spans="1:5" x14ac:dyDescent="0.3">
      <c r="A313" s="2" t="s">
        <v>21</v>
      </c>
      <c r="B313" s="3" t="s">
        <v>37</v>
      </c>
      <c r="C313" s="3" t="s">
        <v>11</v>
      </c>
      <c r="D313" s="4">
        <v>92545</v>
      </c>
      <c r="E313" s="4">
        <v>31475</v>
      </c>
    </row>
    <row r="314" spans="1:5" x14ac:dyDescent="0.3">
      <c r="A314" s="2" t="s">
        <v>21</v>
      </c>
      <c r="B314" s="3" t="s">
        <v>37</v>
      </c>
      <c r="C314" s="3" t="s">
        <v>12</v>
      </c>
      <c r="D314" s="4">
        <v>85734</v>
      </c>
      <c r="E314" s="4">
        <v>37165</v>
      </c>
    </row>
    <row r="315" spans="1:5" x14ac:dyDescent="0.3">
      <c r="A315" s="2" t="s">
        <v>21</v>
      </c>
      <c r="B315" s="3" t="s">
        <v>37</v>
      </c>
      <c r="C315" s="3" t="s">
        <v>13</v>
      </c>
      <c r="D315" s="4">
        <v>106940</v>
      </c>
      <c r="E315" s="4">
        <v>61536</v>
      </c>
    </row>
    <row r="316" spans="1:5" x14ac:dyDescent="0.3">
      <c r="A316" s="2" t="s">
        <v>21</v>
      </c>
      <c r="B316" s="3" t="s">
        <v>38</v>
      </c>
      <c r="C316" s="3" t="s">
        <v>2</v>
      </c>
      <c r="D316" s="4">
        <v>78284</v>
      </c>
      <c r="E316" s="4">
        <v>17696</v>
      </c>
    </row>
    <row r="317" spans="1:5" x14ac:dyDescent="0.3">
      <c r="A317" s="2" t="s">
        <v>21</v>
      </c>
      <c r="B317" s="3" t="s">
        <v>38</v>
      </c>
      <c r="C317" s="3" t="s">
        <v>3</v>
      </c>
      <c r="D317" s="4">
        <v>90053</v>
      </c>
      <c r="E317" s="4">
        <v>23460</v>
      </c>
    </row>
    <row r="318" spans="1:5" x14ac:dyDescent="0.3">
      <c r="A318" s="2" t="s">
        <v>21</v>
      </c>
      <c r="B318" s="3" t="s">
        <v>38</v>
      </c>
      <c r="C318" s="3" t="s">
        <v>4</v>
      </c>
      <c r="D318" s="4">
        <v>94588</v>
      </c>
      <c r="E318" s="4">
        <v>29998</v>
      </c>
    </row>
    <row r="319" spans="1:5" x14ac:dyDescent="0.3">
      <c r="A319" s="2" t="s">
        <v>21</v>
      </c>
      <c r="B319" s="3" t="s">
        <v>38</v>
      </c>
      <c r="C319" s="3" t="s">
        <v>5</v>
      </c>
      <c r="D319" s="4">
        <v>89651</v>
      </c>
      <c r="E319" s="4">
        <v>26080</v>
      </c>
    </row>
    <row r="320" spans="1:5" x14ac:dyDescent="0.3">
      <c r="A320" s="2" t="s">
        <v>21</v>
      </c>
      <c r="B320" s="3" t="s">
        <v>38</v>
      </c>
      <c r="C320" s="3" t="s">
        <v>6</v>
      </c>
      <c r="D320" s="4">
        <v>84023</v>
      </c>
      <c r="E320" s="4">
        <v>26725</v>
      </c>
    </row>
    <row r="321" spans="1:5" x14ac:dyDescent="0.3">
      <c r="A321" s="2" t="s">
        <v>21</v>
      </c>
      <c r="B321" s="3" t="s">
        <v>38</v>
      </c>
      <c r="C321" s="3" t="s">
        <v>7</v>
      </c>
      <c r="D321" s="4">
        <v>80775</v>
      </c>
      <c r="E321" s="4">
        <v>21258</v>
      </c>
    </row>
    <row r="322" spans="1:5" x14ac:dyDescent="0.3">
      <c r="A322" s="2" t="s">
        <v>21</v>
      </c>
      <c r="B322" s="3" t="s">
        <v>38</v>
      </c>
      <c r="C322" s="3" t="s">
        <v>8</v>
      </c>
      <c r="D322" s="4">
        <v>85895</v>
      </c>
      <c r="E322" s="4">
        <v>25911</v>
      </c>
    </row>
    <row r="323" spans="1:5" x14ac:dyDescent="0.3">
      <c r="A323" s="2" t="s">
        <v>21</v>
      </c>
      <c r="B323" s="3" t="s">
        <v>38</v>
      </c>
      <c r="C323" s="3" t="s">
        <v>9</v>
      </c>
      <c r="D323" s="4">
        <v>84458</v>
      </c>
      <c r="E323" s="4">
        <v>33046</v>
      </c>
    </row>
    <row r="324" spans="1:5" x14ac:dyDescent="0.3">
      <c r="A324" s="2" t="s">
        <v>21</v>
      </c>
      <c r="B324" s="3" t="s">
        <v>38</v>
      </c>
      <c r="C324" s="3" t="s">
        <v>10</v>
      </c>
      <c r="D324" s="4">
        <v>84207</v>
      </c>
      <c r="E324" s="4">
        <v>21043</v>
      </c>
    </row>
    <row r="325" spans="1:5" x14ac:dyDescent="0.3">
      <c r="A325" s="2" t="s">
        <v>21</v>
      </c>
      <c r="B325" s="3" t="s">
        <v>38</v>
      </c>
      <c r="C325" s="3" t="s">
        <v>11</v>
      </c>
      <c r="D325" s="4">
        <v>88255</v>
      </c>
      <c r="E325" s="4">
        <v>24307</v>
      </c>
    </row>
    <row r="326" spans="1:5" x14ac:dyDescent="0.3">
      <c r="A326" s="2" t="s">
        <v>21</v>
      </c>
      <c r="B326" s="3" t="s">
        <v>38</v>
      </c>
      <c r="C326" s="3" t="s">
        <v>12</v>
      </c>
      <c r="D326" s="4">
        <v>87488</v>
      </c>
      <c r="E326" s="4">
        <v>31133</v>
      </c>
    </row>
    <row r="327" spans="1:5" x14ac:dyDescent="0.3">
      <c r="A327" s="2" t="s">
        <v>21</v>
      </c>
      <c r="B327" s="3" t="s">
        <v>38</v>
      </c>
      <c r="C327" s="3" t="s">
        <v>13</v>
      </c>
      <c r="D327" s="4">
        <v>93478</v>
      </c>
      <c r="E327" s="4">
        <v>52133</v>
      </c>
    </row>
    <row r="328" spans="1:5" x14ac:dyDescent="0.3">
      <c r="A328" s="2" t="s">
        <v>21</v>
      </c>
      <c r="B328" s="3" t="s">
        <v>36</v>
      </c>
      <c r="C328" s="3" t="s">
        <v>2</v>
      </c>
      <c r="D328" s="4">
        <v>29642</v>
      </c>
      <c r="E328" s="4">
        <v>9173</v>
      </c>
    </row>
    <row r="329" spans="1:5" x14ac:dyDescent="0.3">
      <c r="A329" s="2" t="s">
        <v>21</v>
      </c>
      <c r="B329" s="3" t="s">
        <v>36</v>
      </c>
      <c r="C329" s="3" t="s">
        <v>3</v>
      </c>
      <c r="D329" s="4">
        <v>30572</v>
      </c>
      <c r="E329" s="4">
        <v>8482</v>
      </c>
    </row>
    <row r="330" spans="1:5" x14ac:dyDescent="0.3">
      <c r="A330" s="2" t="s">
        <v>21</v>
      </c>
      <c r="B330" s="3" t="s">
        <v>36</v>
      </c>
      <c r="C330" s="3" t="s">
        <v>4</v>
      </c>
      <c r="D330" s="4">
        <v>32504</v>
      </c>
      <c r="E330" s="4">
        <v>10395</v>
      </c>
    </row>
    <row r="331" spans="1:5" x14ac:dyDescent="0.3">
      <c r="A331" s="2" t="s">
        <v>21</v>
      </c>
      <c r="B331" s="3" t="s">
        <v>36</v>
      </c>
      <c r="C331" s="3" t="s">
        <v>5</v>
      </c>
      <c r="D331" s="4">
        <v>40240</v>
      </c>
      <c r="E331" s="4">
        <v>12301</v>
      </c>
    </row>
    <row r="332" spans="1:5" x14ac:dyDescent="0.3">
      <c r="A332" s="2" t="s">
        <v>21</v>
      </c>
      <c r="B332" s="3" t="s">
        <v>36</v>
      </c>
      <c r="C332" s="3" t="s">
        <v>6</v>
      </c>
      <c r="D332" s="4">
        <v>39483</v>
      </c>
      <c r="E332" s="4">
        <v>13250</v>
      </c>
    </row>
    <row r="333" spans="1:5" x14ac:dyDescent="0.3">
      <c r="A333" s="2" t="s">
        <v>21</v>
      </c>
      <c r="B333" s="3" t="s">
        <v>36</v>
      </c>
      <c r="C333" s="3" t="s">
        <v>7</v>
      </c>
      <c r="D333" s="4">
        <v>39228</v>
      </c>
      <c r="E333" s="4">
        <v>12674</v>
      </c>
    </row>
    <row r="334" spans="1:5" x14ac:dyDescent="0.3">
      <c r="A334" s="2" t="s">
        <v>21</v>
      </c>
      <c r="B334" s="3" t="s">
        <v>36</v>
      </c>
      <c r="C334" s="3" t="s">
        <v>8</v>
      </c>
      <c r="D334" s="4">
        <v>36989</v>
      </c>
      <c r="E334" s="4">
        <v>13098</v>
      </c>
    </row>
    <row r="335" spans="1:5" x14ac:dyDescent="0.3">
      <c r="A335" s="2" t="s">
        <v>21</v>
      </c>
      <c r="B335" s="3" t="s">
        <v>36</v>
      </c>
      <c r="C335" s="3" t="s">
        <v>9</v>
      </c>
      <c r="D335" s="4">
        <v>32877</v>
      </c>
      <c r="E335" s="4">
        <v>13735</v>
      </c>
    </row>
    <row r="336" spans="1:5" x14ac:dyDescent="0.3">
      <c r="A336" s="2" t="s">
        <v>21</v>
      </c>
      <c r="B336" s="3" t="s">
        <v>36</v>
      </c>
      <c r="C336" s="3" t="s">
        <v>10</v>
      </c>
      <c r="D336" s="4">
        <v>32210</v>
      </c>
      <c r="E336" s="4">
        <v>9773</v>
      </c>
    </row>
    <row r="337" spans="1:5" x14ac:dyDescent="0.3">
      <c r="A337" s="2" t="s">
        <v>21</v>
      </c>
      <c r="B337" s="3" t="s">
        <v>36</v>
      </c>
      <c r="C337" s="3" t="s">
        <v>11</v>
      </c>
      <c r="D337" s="4">
        <v>38493</v>
      </c>
      <c r="E337" s="4">
        <v>11760</v>
      </c>
    </row>
    <row r="338" spans="1:5" x14ac:dyDescent="0.3">
      <c r="A338" s="2" t="s">
        <v>21</v>
      </c>
      <c r="B338" s="3" t="s">
        <v>36</v>
      </c>
      <c r="C338" s="3" t="s">
        <v>12</v>
      </c>
      <c r="D338" s="4">
        <v>45234</v>
      </c>
      <c r="E338" s="4">
        <v>13847</v>
      </c>
    </row>
    <row r="339" spans="1:5" x14ac:dyDescent="0.3">
      <c r="A339" s="2" t="s">
        <v>21</v>
      </c>
      <c r="B339" s="3" t="s">
        <v>36</v>
      </c>
      <c r="C339" s="3" t="s">
        <v>13</v>
      </c>
      <c r="D339" s="4">
        <v>41502</v>
      </c>
      <c r="E339" s="4">
        <v>24332</v>
      </c>
    </row>
    <row r="340" spans="1:5" x14ac:dyDescent="0.3">
      <c r="A340" s="2" t="s">
        <v>21</v>
      </c>
      <c r="B340" s="3" t="s">
        <v>35</v>
      </c>
      <c r="C340" s="3" t="s">
        <v>2</v>
      </c>
      <c r="D340" s="4">
        <v>65720</v>
      </c>
      <c r="E340" s="4">
        <v>18867</v>
      </c>
    </row>
    <row r="341" spans="1:5" x14ac:dyDescent="0.3">
      <c r="A341" s="2" t="s">
        <v>21</v>
      </c>
      <c r="B341" s="3" t="s">
        <v>35</v>
      </c>
      <c r="C341" s="3" t="s">
        <v>3</v>
      </c>
      <c r="D341" s="4">
        <v>63476</v>
      </c>
      <c r="E341" s="4">
        <v>15579</v>
      </c>
    </row>
    <row r="342" spans="1:5" x14ac:dyDescent="0.3">
      <c r="A342" s="2" t="s">
        <v>21</v>
      </c>
      <c r="B342" s="3" t="s">
        <v>35</v>
      </c>
      <c r="C342" s="3" t="s">
        <v>4</v>
      </c>
      <c r="D342" s="4">
        <v>78629</v>
      </c>
      <c r="E342" s="4">
        <v>25719</v>
      </c>
    </row>
    <row r="343" spans="1:5" x14ac:dyDescent="0.3">
      <c r="A343" s="2" t="s">
        <v>21</v>
      </c>
      <c r="B343" s="3" t="s">
        <v>35</v>
      </c>
      <c r="C343" s="3" t="s">
        <v>5</v>
      </c>
      <c r="D343" s="4">
        <v>100976</v>
      </c>
      <c r="E343" s="4">
        <v>25911</v>
      </c>
    </row>
    <row r="344" spans="1:5" x14ac:dyDescent="0.3">
      <c r="A344" s="2" t="s">
        <v>21</v>
      </c>
      <c r="B344" s="3" t="s">
        <v>35</v>
      </c>
      <c r="C344" s="3" t="s">
        <v>6</v>
      </c>
      <c r="D344" s="4">
        <v>93932</v>
      </c>
      <c r="E344" s="4">
        <v>26037</v>
      </c>
    </row>
    <row r="345" spans="1:5" x14ac:dyDescent="0.3">
      <c r="A345" s="2" t="s">
        <v>21</v>
      </c>
      <c r="B345" s="3" t="s">
        <v>35</v>
      </c>
      <c r="C345" s="3" t="s">
        <v>7</v>
      </c>
      <c r="D345" s="4">
        <v>85136</v>
      </c>
      <c r="E345" s="4">
        <v>22007</v>
      </c>
    </row>
    <row r="346" spans="1:5" x14ac:dyDescent="0.3">
      <c r="A346" s="2" t="s">
        <v>21</v>
      </c>
      <c r="B346" s="3" t="s">
        <v>35</v>
      </c>
      <c r="C346" s="3" t="s">
        <v>8</v>
      </c>
      <c r="D346" s="4">
        <v>73480</v>
      </c>
      <c r="E346" s="4">
        <v>21460</v>
      </c>
    </row>
    <row r="347" spans="1:5" x14ac:dyDescent="0.3">
      <c r="A347" s="2" t="s">
        <v>21</v>
      </c>
      <c r="B347" s="3" t="s">
        <v>35</v>
      </c>
      <c r="C347" s="3" t="s">
        <v>9</v>
      </c>
      <c r="D347" s="4">
        <v>73912</v>
      </c>
      <c r="E347" s="4">
        <v>20065</v>
      </c>
    </row>
    <row r="348" spans="1:5" x14ac:dyDescent="0.3">
      <c r="A348" s="2" t="s">
        <v>21</v>
      </c>
      <c r="B348" s="3" t="s">
        <v>35</v>
      </c>
      <c r="C348" s="3" t="s">
        <v>10</v>
      </c>
      <c r="D348" s="4">
        <v>96801</v>
      </c>
      <c r="E348" s="4">
        <v>18703</v>
      </c>
    </row>
    <row r="349" spans="1:5" x14ac:dyDescent="0.3">
      <c r="A349" s="2" t="s">
        <v>21</v>
      </c>
      <c r="B349" s="3" t="s">
        <v>35</v>
      </c>
      <c r="C349" s="3" t="s">
        <v>11</v>
      </c>
      <c r="D349" s="4">
        <v>102848</v>
      </c>
      <c r="E349" s="4">
        <v>25284</v>
      </c>
    </row>
    <row r="350" spans="1:5" x14ac:dyDescent="0.3">
      <c r="A350" s="2" t="s">
        <v>21</v>
      </c>
      <c r="B350" s="3" t="s">
        <v>35</v>
      </c>
      <c r="C350" s="3" t="s">
        <v>12</v>
      </c>
      <c r="D350" s="4">
        <v>103447</v>
      </c>
      <c r="E350" s="4">
        <v>34149</v>
      </c>
    </row>
    <row r="351" spans="1:5" x14ac:dyDescent="0.3">
      <c r="A351" s="2" t="s">
        <v>21</v>
      </c>
      <c r="B351" s="3" t="s">
        <v>35</v>
      </c>
      <c r="C351" s="3" t="s">
        <v>13</v>
      </c>
      <c r="D351" s="4">
        <v>95162</v>
      </c>
      <c r="E351" s="4">
        <v>72871</v>
      </c>
    </row>
    <row r="352" spans="1:5" x14ac:dyDescent="0.3">
      <c r="A352" s="2" t="s">
        <v>21</v>
      </c>
      <c r="B352" s="3" t="s">
        <v>34</v>
      </c>
      <c r="C352" s="3" t="s">
        <v>2</v>
      </c>
      <c r="D352" s="4">
        <v>2543</v>
      </c>
      <c r="E352" s="4">
        <v>347</v>
      </c>
    </row>
    <row r="353" spans="1:5" x14ac:dyDescent="0.3">
      <c r="A353" s="2" t="s">
        <v>21</v>
      </c>
      <c r="B353" s="3" t="s">
        <v>34</v>
      </c>
      <c r="C353" s="3" t="s">
        <v>3</v>
      </c>
      <c r="D353" s="4">
        <v>2616</v>
      </c>
      <c r="E353" s="4">
        <v>347</v>
      </c>
    </row>
    <row r="354" spans="1:5" x14ac:dyDescent="0.3">
      <c r="A354" s="2" t="s">
        <v>21</v>
      </c>
      <c r="B354" s="3" t="s">
        <v>34</v>
      </c>
      <c r="C354" s="3" t="s">
        <v>4</v>
      </c>
      <c r="D354" s="4">
        <v>2723</v>
      </c>
      <c r="E354" s="4">
        <v>356</v>
      </c>
    </row>
    <row r="355" spans="1:5" x14ac:dyDescent="0.3">
      <c r="A355" s="2" t="s">
        <v>21</v>
      </c>
      <c r="B355" s="3" t="s">
        <v>34</v>
      </c>
      <c r="C355" s="3" t="s">
        <v>5</v>
      </c>
      <c r="D355" s="4">
        <v>2648</v>
      </c>
      <c r="E355" s="4">
        <v>351</v>
      </c>
    </row>
    <row r="356" spans="1:5" x14ac:dyDescent="0.3">
      <c r="A356" s="2" t="s">
        <v>21</v>
      </c>
      <c r="B356" s="3" t="s">
        <v>34</v>
      </c>
      <c r="C356" s="3" t="s">
        <v>6</v>
      </c>
      <c r="D356" s="4">
        <v>2307</v>
      </c>
      <c r="E356" s="4">
        <v>516</v>
      </c>
    </row>
    <row r="357" spans="1:5" x14ac:dyDescent="0.3">
      <c r="A357" s="2" t="s">
        <v>21</v>
      </c>
      <c r="B357" s="3" t="s">
        <v>34</v>
      </c>
      <c r="C357" s="3" t="s">
        <v>7</v>
      </c>
      <c r="D357" s="4">
        <v>10282</v>
      </c>
      <c r="E357" s="4">
        <v>1451</v>
      </c>
    </row>
    <row r="358" spans="1:5" x14ac:dyDescent="0.3">
      <c r="A358" s="2" t="s">
        <v>21</v>
      </c>
      <c r="B358" s="3" t="s">
        <v>34</v>
      </c>
      <c r="C358" s="3" t="s">
        <v>8</v>
      </c>
      <c r="D358" s="4">
        <v>14365</v>
      </c>
      <c r="E358" s="4">
        <v>4609</v>
      </c>
    </row>
    <row r="359" spans="1:5" x14ac:dyDescent="0.3">
      <c r="A359" s="2" t="s">
        <v>21</v>
      </c>
      <c r="B359" s="3" t="s">
        <v>34</v>
      </c>
      <c r="C359" s="3" t="s">
        <v>9</v>
      </c>
      <c r="D359" s="4">
        <v>11647</v>
      </c>
      <c r="E359" s="4">
        <v>7375</v>
      </c>
    </row>
    <row r="360" spans="1:5" x14ac:dyDescent="0.3">
      <c r="A360" s="2" t="s">
        <v>21</v>
      </c>
      <c r="B360" s="3" t="s">
        <v>34</v>
      </c>
      <c r="C360" s="3" t="s">
        <v>10</v>
      </c>
      <c r="D360" s="4">
        <v>5553</v>
      </c>
      <c r="E360" s="4">
        <v>920</v>
      </c>
    </row>
    <row r="361" spans="1:5" x14ac:dyDescent="0.3">
      <c r="A361" s="2" t="s">
        <v>21</v>
      </c>
      <c r="B361" s="3" t="s">
        <v>34</v>
      </c>
      <c r="C361" s="3" t="s">
        <v>11</v>
      </c>
      <c r="D361" s="4">
        <v>6630</v>
      </c>
      <c r="E361" s="4">
        <v>1248</v>
      </c>
    </row>
    <row r="362" spans="1:5" x14ac:dyDescent="0.3">
      <c r="A362" s="2" t="s">
        <v>21</v>
      </c>
      <c r="B362" s="3" t="s">
        <v>34</v>
      </c>
      <c r="C362" s="3" t="s">
        <v>12</v>
      </c>
      <c r="D362" s="4">
        <v>5885</v>
      </c>
      <c r="E362" s="4">
        <v>1476</v>
      </c>
    </row>
    <row r="363" spans="1:5" x14ac:dyDescent="0.3">
      <c r="A363" s="2" t="s">
        <v>21</v>
      </c>
      <c r="B363" s="3" t="s">
        <v>34</v>
      </c>
      <c r="C363" s="3" t="s">
        <v>13</v>
      </c>
      <c r="D363" s="4">
        <v>4677</v>
      </c>
      <c r="E363" s="4">
        <v>947</v>
      </c>
    </row>
    <row r="364" spans="1:5" x14ac:dyDescent="0.3">
      <c r="A364" s="2" t="s">
        <v>22</v>
      </c>
      <c r="B364" s="3" t="s">
        <v>37</v>
      </c>
      <c r="C364" s="3" t="s">
        <v>2</v>
      </c>
      <c r="D364" s="4">
        <v>67845</v>
      </c>
      <c r="E364" s="4">
        <v>39803</v>
      </c>
    </row>
    <row r="365" spans="1:5" x14ac:dyDescent="0.3">
      <c r="A365" s="2" t="s">
        <v>22</v>
      </c>
      <c r="B365" s="3" t="s">
        <v>37</v>
      </c>
      <c r="C365" s="3" t="s">
        <v>3</v>
      </c>
      <c r="D365" s="4">
        <v>95121</v>
      </c>
      <c r="E365" s="4">
        <v>43529</v>
      </c>
    </row>
    <row r="366" spans="1:5" x14ac:dyDescent="0.3">
      <c r="A366" s="2" t="s">
        <v>22</v>
      </c>
      <c r="B366" s="3" t="s">
        <v>37</v>
      </c>
      <c r="C366" s="3" t="s">
        <v>4</v>
      </c>
      <c r="D366" s="4">
        <v>107278</v>
      </c>
      <c r="E366" s="4">
        <v>53275</v>
      </c>
    </row>
    <row r="367" spans="1:5" x14ac:dyDescent="0.3">
      <c r="A367" s="2" t="s">
        <v>22</v>
      </c>
      <c r="B367" s="3" t="s">
        <v>37</v>
      </c>
      <c r="C367" s="3" t="s">
        <v>5</v>
      </c>
      <c r="D367" s="4">
        <v>107743</v>
      </c>
      <c r="E367" s="4">
        <v>47170</v>
      </c>
    </row>
    <row r="368" spans="1:5" x14ac:dyDescent="0.3">
      <c r="A368" s="2" t="s">
        <v>22</v>
      </c>
      <c r="B368" s="3" t="s">
        <v>37</v>
      </c>
      <c r="C368" s="3" t="s">
        <v>6</v>
      </c>
      <c r="D368" s="4">
        <v>102677</v>
      </c>
      <c r="E368" s="4">
        <v>50224</v>
      </c>
    </row>
    <row r="369" spans="1:5" x14ac:dyDescent="0.3">
      <c r="A369" s="2" t="s">
        <v>22</v>
      </c>
      <c r="B369" s="3" t="s">
        <v>37</v>
      </c>
      <c r="C369" s="3" t="s">
        <v>7</v>
      </c>
      <c r="D369" s="4">
        <v>113408</v>
      </c>
      <c r="E369" s="4">
        <v>51322</v>
      </c>
    </row>
    <row r="370" spans="1:5" x14ac:dyDescent="0.3">
      <c r="A370" s="2" t="s">
        <v>22</v>
      </c>
      <c r="B370" s="3" t="s">
        <v>37</v>
      </c>
      <c r="C370" s="3" t="s">
        <v>8</v>
      </c>
      <c r="D370" s="4">
        <v>107979</v>
      </c>
      <c r="E370" s="4">
        <v>48737</v>
      </c>
    </row>
    <row r="371" spans="1:5" x14ac:dyDescent="0.3">
      <c r="A371" s="2" t="s">
        <v>22</v>
      </c>
      <c r="B371" s="3" t="s">
        <v>37</v>
      </c>
      <c r="C371" s="3" t="s">
        <v>9</v>
      </c>
      <c r="D371" s="4">
        <v>106751</v>
      </c>
      <c r="E371" s="4">
        <v>58701</v>
      </c>
    </row>
    <row r="372" spans="1:5" x14ac:dyDescent="0.3">
      <c r="A372" s="2" t="s">
        <v>22</v>
      </c>
      <c r="B372" s="3" t="s">
        <v>37</v>
      </c>
      <c r="C372" s="3" t="s">
        <v>10</v>
      </c>
      <c r="D372" s="4">
        <v>113954</v>
      </c>
      <c r="E372" s="4">
        <v>47690</v>
      </c>
    </row>
    <row r="373" spans="1:5" x14ac:dyDescent="0.3">
      <c r="A373" s="2" t="s">
        <v>22</v>
      </c>
      <c r="B373" s="3" t="s">
        <v>37</v>
      </c>
      <c r="C373" s="3" t="s">
        <v>11</v>
      </c>
      <c r="D373" s="4">
        <v>105447</v>
      </c>
      <c r="E373" s="4">
        <v>45761</v>
      </c>
    </row>
    <row r="374" spans="1:5" x14ac:dyDescent="0.3">
      <c r="A374" s="2" t="s">
        <v>22</v>
      </c>
      <c r="B374" s="3" t="s">
        <v>37</v>
      </c>
      <c r="C374" s="3" t="s">
        <v>12</v>
      </c>
      <c r="D374" s="4">
        <v>100460</v>
      </c>
      <c r="E374" s="4">
        <v>49280</v>
      </c>
    </row>
    <row r="375" spans="1:5" x14ac:dyDescent="0.3">
      <c r="A375" s="2" t="s">
        <v>22</v>
      </c>
      <c r="B375" s="3" t="s">
        <v>37</v>
      </c>
      <c r="C375" s="3" t="s">
        <v>13</v>
      </c>
      <c r="D375" s="4">
        <v>114499</v>
      </c>
      <c r="E375" s="4">
        <v>79698</v>
      </c>
    </row>
    <row r="376" spans="1:5" x14ac:dyDescent="0.3">
      <c r="A376" s="2" t="s">
        <v>22</v>
      </c>
      <c r="B376" s="3" t="s">
        <v>38</v>
      </c>
      <c r="C376" s="3" t="s">
        <v>2</v>
      </c>
      <c r="D376" s="4">
        <v>85658</v>
      </c>
      <c r="E376" s="4">
        <v>35789</v>
      </c>
    </row>
    <row r="377" spans="1:5" x14ac:dyDescent="0.3">
      <c r="A377" s="2" t="s">
        <v>22</v>
      </c>
      <c r="B377" s="3" t="s">
        <v>38</v>
      </c>
      <c r="C377" s="3" t="s">
        <v>3</v>
      </c>
      <c r="D377" s="4">
        <v>111603</v>
      </c>
      <c r="E377" s="4">
        <v>39741</v>
      </c>
    </row>
    <row r="378" spans="1:5" x14ac:dyDescent="0.3">
      <c r="A378" s="2" t="s">
        <v>22</v>
      </c>
      <c r="B378" s="3" t="s">
        <v>38</v>
      </c>
      <c r="C378" s="3" t="s">
        <v>4</v>
      </c>
      <c r="D378" s="4">
        <v>124015</v>
      </c>
      <c r="E378" s="4">
        <v>50480</v>
      </c>
    </row>
    <row r="379" spans="1:5" x14ac:dyDescent="0.3">
      <c r="A379" s="2" t="s">
        <v>22</v>
      </c>
      <c r="B379" s="3" t="s">
        <v>38</v>
      </c>
      <c r="C379" s="3" t="s">
        <v>5</v>
      </c>
      <c r="D379" s="4">
        <v>121372</v>
      </c>
      <c r="E379" s="4">
        <v>45983</v>
      </c>
    </row>
    <row r="380" spans="1:5" x14ac:dyDescent="0.3">
      <c r="A380" s="2" t="s">
        <v>22</v>
      </c>
      <c r="B380" s="3" t="s">
        <v>38</v>
      </c>
      <c r="C380" s="3" t="s">
        <v>6</v>
      </c>
      <c r="D380" s="4">
        <v>111280</v>
      </c>
      <c r="E380" s="4">
        <v>45890</v>
      </c>
    </row>
    <row r="381" spans="1:5" x14ac:dyDescent="0.3">
      <c r="A381" s="2" t="s">
        <v>22</v>
      </c>
      <c r="B381" s="3" t="s">
        <v>38</v>
      </c>
      <c r="C381" s="3" t="s">
        <v>7</v>
      </c>
      <c r="D381" s="4">
        <v>108064</v>
      </c>
      <c r="E381" s="4">
        <v>37618</v>
      </c>
    </row>
    <row r="382" spans="1:5" x14ac:dyDescent="0.3">
      <c r="A382" s="2" t="s">
        <v>22</v>
      </c>
      <c r="B382" s="3" t="s">
        <v>38</v>
      </c>
      <c r="C382" s="3" t="s">
        <v>8</v>
      </c>
      <c r="D382" s="4">
        <v>113307</v>
      </c>
      <c r="E382" s="4">
        <v>51556</v>
      </c>
    </row>
    <row r="383" spans="1:5" x14ac:dyDescent="0.3">
      <c r="A383" s="2" t="s">
        <v>22</v>
      </c>
      <c r="B383" s="3" t="s">
        <v>38</v>
      </c>
      <c r="C383" s="3" t="s">
        <v>9</v>
      </c>
      <c r="D383" s="4">
        <v>114355</v>
      </c>
      <c r="E383" s="4">
        <v>67142</v>
      </c>
    </row>
    <row r="384" spans="1:5" x14ac:dyDescent="0.3">
      <c r="A384" s="2" t="s">
        <v>22</v>
      </c>
      <c r="B384" s="3" t="s">
        <v>38</v>
      </c>
      <c r="C384" s="3" t="s">
        <v>10</v>
      </c>
      <c r="D384" s="4">
        <v>110885</v>
      </c>
      <c r="E384" s="4">
        <v>41368</v>
      </c>
    </row>
    <row r="385" spans="1:5" x14ac:dyDescent="0.3">
      <c r="A385" s="2" t="s">
        <v>22</v>
      </c>
      <c r="B385" s="3" t="s">
        <v>38</v>
      </c>
      <c r="C385" s="3" t="s">
        <v>11</v>
      </c>
      <c r="D385" s="4">
        <v>116354</v>
      </c>
      <c r="E385" s="4">
        <v>41605</v>
      </c>
    </row>
    <row r="386" spans="1:5" x14ac:dyDescent="0.3">
      <c r="A386" s="2" t="s">
        <v>22</v>
      </c>
      <c r="B386" s="3" t="s">
        <v>38</v>
      </c>
      <c r="C386" s="3" t="s">
        <v>12</v>
      </c>
      <c r="D386" s="4">
        <v>115651</v>
      </c>
      <c r="E386" s="4">
        <v>46607</v>
      </c>
    </row>
    <row r="387" spans="1:5" x14ac:dyDescent="0.3">
      <c r="A387" s="2" t="s">
        <v>22</v>
      </c>
      <c r="B387" s="3" t="s">
        <v>38</v>
      </c>
      <c r="C387" s="3" t="s">
        <v>13</v>
      </c>
      <c r="D387" s="4">
        <v>117651</v>
      </c>
      <c r="E387" s="4">
        <v>81057</v>
      </c>
    </row>
    <row r="388" spans="1:5" x14ac:dyDescent="0.3">
      <c r="A388" s="2" t="s">
        <v>22</v>
      </c>
      <c r="B388" s="3" t="s">
        <v>36</v>
      </c>
      <c r="C388" s="3" t="s">
        <v>2</v>
      </c>
      <c r="D388" s="4">
        <v>31101</v>
      </c>
      <c r="E388" s="4">
        <v>16058</v>
      </c>
    </row>
    <row r="389" spans="1:5" x14ac:dyDescent="0.3">
      <c r="A389" s="2" t="s">
        <v>22</v>
      </c>
      <c r="B389" s="3" t="s">
        <v>36</v>
      </c>
      <c r="C389" s="3" t="s">
        <v>3</v>
      </c>
      <c r="D389" s="4">
        <v>31646</v>
      </c>
      <c r="E389" s="4">
        <v>13347</v>
      </c>
    </row>
    <row r="390" spans="1:5" x14ac:dyDescent="0.3">
      <c r="A390" s="2" t="s">
        <v>22</v>
      </c>
      <c r="B390" s="3" t="s">
        <v>36</v>
      </c>
      <c r="C390" s="3" t="s">
        <v>4</v>
      </c>
      <c r="D390" s="4">
        <v>38516</v>
      </c>
      <c r="E390" s="4">
        <v>14612</v>
      </c>
    </row>
    <row r="391" spans="1:5" x14ac:dyDescent="0.3">
      <c r="A391" s="2" t="s">
        <v>22</v>
      </c>
      <c r="B391" s="3" t="s">
        <v>36</v>
      </c>
      <c r="C391" s="3" t="s">
        <v>5</v>
      </c>
      <c r="D391" s="4">
        <v>47104</v>
      </c>
      <c r="E391" s="4">
        <v>15898</v>
      </c>
    </row>
    <row r="392" spans="1:5" x14ac:dyDescent="0.3">
      <c r="A392" s="2" t="s">
        <v>22</v>
      </c>
      <c r="B392" s="3" t="s">
        <v>36</v>
      </c>
      <c r="C392" s="3" t="s">
        <v>6</v>
      </c>
      <c r="D392" s="4">
        <v>45347</v>
      </c>
      <c r="E392" s="4">
        <v>15274</v>
      </c>
    </row>
    <row r="393" spans="1:5" x14ac:dyDescent="0.3">
      <c r="A393" s="2" t="s">
        <v>22</v>
      </c>
      <c r="B393" s="3" t="s">
        <v>36</v>
      </c>
      <c r="C393" s="3" t="s">
        <v>7</v>
      </c>
      <c r="D393" s="4">
        <v>41079</v>
      </c>
      <c r="E393" s="4">
        <v>14087</v>
      </c>
    </row>
    <row r="394" spans="1:5" x14ac:dyDescent="0.3">
      <c r="A394" s="2" t="s">
        <v>22</v>
      </c>
      <c r="B394" s="3" t="s">
        <v>36</v>
      </c>
      <c r="C394" s="3" t="s">
        <v>8</v>
      </c>
      <c r="D394" s="4">
        <v>41220</v>
      </c>
      <c r="E394" s="4">
        <v>15087</v>
      </c>
    </row>
    <row r="395" spans="1:5" x14ac:dyDescent="0.3">
      <c r="A395" s="2" t="s">
        <v>22</v>
      </c>
      <c r="B395" s="3" t="s">
        <v>36</v>
      </c>
      <c r="C395" s="3" t="s">
        <v>9</v>
      </c>
      <c r="D395" s="4">
        <v>36006</v>
      </c>
      <c r="E395" s="4">
        <v>18475</v>
      </c>
    </row>
    <row r="396" spans="1:5" x14ac:dyDescent="0.3">
      <c r="A396" s="2" t="s">
        <v>22</v>
      </c>
      <c r="B396" s="3" t="s">
        <v>36</v>
      </c>
      <c r="C396" s="3" t="s">
        <v>10</v>
      </c>
      <c r="D396" s="4">
        <v>35325</v>
      </c>
      <c r="E396" s="4">
        <v>12826</v>
      </c>
    </row>
    <row r="397" spans="1:5" x14ac:dyDescent="0.3">
      <c r="A397" s="2" t="s">
        <v>22</v>
      </c>
      <c r="B397" s="3" t="s">
        <v>36</v>
      </c>
      <c r="C397" s="3" t="s">
        <v>11</v>
      </c>
      <c r="D397" s="4">
        <v>45700</v>
      </c>
      <c r="E397" s="4">
        <v>16373</v>
      </c>
    </row>
    <row r="398" spans="1:5" x14ac:dyDescent="0.3">
      <c r="A398" s="2" t="s">
        <v>22</v>
      </c>
      <c r="B398" s="3" t="s">
        <v>36</v>
      </c>
      <c r="C398" s="3" t="s">
        <v>12</v>
      </c>
      <c r="D398" s="4">
        <v>52622</v>
      </c>
      <c r="E398" s="4">
        <v>20016</v>
      </c>
    </row>
    <row r="399" spans="1:5" x14ac:dyDescent="0.3">
      <c r="A399" s="2" t="s">
        <v>22</v>
      </c>
      <c r="B399" s="3" t="s">
        <v>36</v>
      </c>
      <c r="C399" s="3" t="s">
        <v>13</v>
      </c>
      <c r="D399" s="4">
        <v>52271</v>
      </c>
      <c r="E399" s="4">
        <v>34532</v>
      </c>
    </row>
    <row r="400" spans="1:5" x14ac:dyDescent="0.3">
      <c r="A400" s="2" t="s">
        <v>22</v>
      </c>
      <c r="B400" s="3" t="s">
        <v>35</v>
      </c>
      <c r="C400" s="3" t="s">
        <v>2</v>
      </c>
      <c r="D400" s="4">
        <v>76443</v>
      </c>
      <c r="E400" s="4">
        <v>42889</v>
      </c>
    </row>
    <row r="401" spans="1:5" x14ac:dyDescent="0.3">
      <c r="A401" s="2" t="s">
        <v>22</v>
      </c>
      <c r="B401" s="3" t="s">
        <v>35</v>
      </c>
      <c r="C401" s="3" t="s">
        <v>3</v>
      </c>
      <c r="D401" s="4">
        <v>74688</v>
      </c>
      <c r="E401" s="4">
        <v>36948</v>
      </c>
    </row>
    <row r="402" spans="1:5" x14ac:dyDescent="0.3">
      <c r="A402" s="2" t="s">
        <v>22</v>
      </c>
      <c r="B402" s="3" t="s">
        <v>35</v>
      </c>
      <c r="C402" s="3" t="s">
        <v>4</v>
      </c>
      <c r="D402" s="4">
        <v>106349</v>
      </c>
      <c r="E402" s="4">
        <v>52110</v>
      </c>
    </row>
    <row r="403" spans="1:5" x14ac:dyDescent="0.3">
      <c r="A403" s="2" t="s">
        <v>22</v>
      </c>
      <c r="B403" s="3" t="s">
        <v>35</v>
      </c>
      <c r="C403" s="3" t="s">
        <v>5</v>
      </c>
      <c r="D403" s="4">
        <v>166924</v>
      </c>
      <c r="E403" s="4">
        <v>55552</v>
      </c>
    </row>
    <row r="404" spans="1:5" x14ac:dyDescent="0.3">
      <c r="A404" s="2" t="s">
        <v>22</v>
      </c>
      <c r="B404" s="3" t="s">
        <v>35</v>
      </c>
      <c r="C404" s="3" t="s">
        <v>6</v>
      </c>
      <c r="D404" s="4">
        <v>155876</v>
      </c>
      <c r="E404" s="4">
        <v>54647</v>
      </c>
    </row>
    <row r="405" spans="1:5" x14ac:dyDescent="0.3">
      <c r="A405" s="2" t="s">
        <v>22</v>
      </c>
      <c r="B405" s="3" t="s">
        <v>35</v>
      </c>
      <c r="C405" s="3" t="s">
        <v>7</v>
      </c>
      <c r="D405" s="4">
        <v>132620</v>
      </c>
      <c r="E405" s="4">
        <v>46011</v>
      </c>
    </row>
    <row r="406" spans="1:5" x14ac:dyDescent="0.3">
      <c r="A406" s="2" t="s">
        <v>22</v>
      </c>
      <c r="B406" s="3" t="s">
        <v>35</v>
      </c>
      <c r="C406" s="3" t="s">
        <v>8</v>
      </c>
      <c r="D406" s="4">
        <v>125371</v>
      </c>
      <c r="E406" s="4">
        <v>52310</v>
      </c>
    </row>
    <row r="407" spans="1:5" x14ac:dyDescent="0.3">
      <c r="A407" s="2" t="s">
        <v>22</v>
      </c>
      <c r="B407" s="3" t="s">
        <v>35</v>
      </c>
      <c r="C407" s="3" t="s">
        <v>9</v>
      </c>
      <c r="D407" s="4">
        <v>112731</v>
      </c>
      <c r="E407" s="4">
        <v>60961</v>
      </c>
    </row>
    <row r="408" spans="1:5" x14ac:dyDescent="0.3">
      <c r="A408" s="2" t="s">
        <v>22</v>
      </c>
      <c r="B408" s="3" t="s">
        <v>35</v>
      </c>
      <c r="C408" s="3" t="s">
        <v>10</v>
      </c>
      <c r="D408" s="4">
        <v>160180</v>
      </c>
      <c r="E408" s="4">
        <v>53652</v>
      </c>
    </row>
    <row r="409" spans="1:5" x14ac:dyDescent="0.3">
      <c r="A409" s="2" t="s">
        <v>22</v>
      </c>
      <c r="B409" s="3" t="s">
        <v>35</v>
      </c>
      <c r="C409" s="3" t="s">
        <v>11</v>
      </c>
      <c r="D409" s="4">
        <v>170801</v>
      </c>
      <c r="E409" s="4">
        <v>67831</v>
      </c>
    </row>
    <row r="410" spans="1:5" x14ac:dyDescent="0.3">
      <c r="A410" s="2" t="s">
        <v>22</v>
      </c>
      <c r="B410" s="3" t="s">
        <v>35</v>
      </c>
      <c r="C410" s="3" t="s">
        <v>12</v>
      </c>
      <c r="D410" s="4">
        <v>165737</v>
      </c>
      <c r="E410" s="4">
        <v>81010</v>
      </c>
    </row>
    <row r="411" spans="1:5" x14ac:dyDescent="0.3">
      <c r="A411" s="2" t="s">
        <v>22</v>
      </c>
      <c r="B411" s="3" t="s">
        <v>35</v>
      </c>
      <c r="C411" s="3" t="s">
        <v>13</v>
      </c>
      <c r="D411" s="4">
        <v>170250</v>
      </c>
      <c r="E411" s="4">
        <v>171143</v>
      </c>
    </row>
    <row r="412" spans="1:5" x14ac:dyDescent="0.3">
      <c r="A412" s="2" t="s">
        <v>22</v>
      </c>
      <c r="B412" s="3" t="s">
        <v>34</v>
      </c>
      <c r="C412" s="3" t="s">
        <v>2</v>
      </c>
      <c r="D412" s="4">
        <v>1992</v>
      </c>
      <c r="E412" s="4">
        <v>462</v>
      </c>
    </row>
    <row r="413" spans="1:5" x14ac:dyDescent="0.3">
      <c r="A413" s="2" t="s">
        <v>22</v>
      </c>
      <c r="B413" s="3" t="s">
        <v>34</v>
      </c>
      <c r="C413" s="3" t="s">
        <v>3</v>
      </c>
      <c r="D413" s="4">
        <v>1935</v>
      </c>
      <c r="E413" s="4">
        <v>396</v>
      </c>
    </row>
    <row r="414" spans="1:5" x14ac:dyDescent="0.3">
      <c r="A414" s="2" t="s">
        <v>22</v>
      </c>
      <c r="B414" s="3" t="s">
        <v>34</v>
      </c>
      <c r="C414" s="3" t="s">
        <v>4</v>
      </c>
      <c r="D414" s="4">
        <v>2182</v>
      </c>
      <c r="E414" s="4">
        <v>420</v>
      </c>
    </row>
    <row r="415" spans="1:5" x14ac:dyDescent="0.3">
      <c r="A415" s="2" t="s">
        <v>22</v>
      </c>
      <c r="B415" s="3" t="s">
        <v>34</v>
      </c>
      <c r="C415" s="3" t="s">
        <v>5</v>
      </c>
      <c r="D415" s="4">
        <v>2078</v>
      </c>
      <c r="E415" s="4">
        <v>360</v>
      </c>
    </row>
    <row r="416" spans="1:5" x14ac:dyDescent="0.3">
      <c r="A416" s="2" t="s">
        <v>22</v>
      </c>
      <c r="B416" s="3" t="s">
        <v>34</v>
      </c>
      <c r="C416" s="3" t="s">
        <v>6</v>
      </c>
      <c r="D416" s="4">
        <v>1772</v>
      </c>
      <c r="E416" s="4">
        <v>529</v>
      </c>
    </row>
    <row r="417" spans="1:5" x14ac:dyDescent="0.3">
      <c r="A417" s="2" t="s">
        <v>22</v>
      </c>
      <c r="B417" s="3" t="s">
        <v>34</v>
      </c>
      <c r="C417" s="3" t="s">
        <v>7</v>
      </c>
      <c r="D417" s="4">
        <v>11137</v>
      </c>
      <c r="E417" s="4">
        <v>1757</v>
      </c>
    </row>
    <row r="418" spans="1:5" x14ac:dyDescent="0.3">
      <c r="A418" s="2" t="s">
        <v>22</v>
      </c>
      <c r="B418" s="3" t="s">
        <v>34</v>
      </c>
      <c r="C418" s="3" t="s">
        <v>8</v>
      </c>
      <c r="D418" s="4">
        <v>16125</v>
      </c>
      <c r="E418" s="4">
        <v>4327</v>
      </c>
    </row>
    <row r="419" spans="1:5" x14ac:dyDescent="0.3">
      <c r="A419" s="2" t="s">
        <v>22</v>
      </c>
      <c r="B419" s="3" t="s">
        <v>34</v>
      </c>
      <c r="C419" s="3" t="s">
        <v>9</v>
      </c>
      <c r="D419" s="4">
        <v>13746</v>
      </c>
      <c r="E419" s="4">
        <v>10253</v>
      </c>
    </row>
    <row r="420" spans="1:5" x14ac:dyDescent="0.3">
      <c r="A420" s="2" t="s">
        <v>22</v>
      </c>
      <c r="B420" s="3" t="s">
        <v>34</v>
      </c>
      <c r="C420" s="3" t="s">
        <v>10</v>
      </c>
      <c r="D420" s="4">
        <v>4378</v>
      </c>
      <c r="E420" s="4">
        <v>1443</v>
      </c>
    </row>
    <row r="421" spans="1:5" x14ac:dyDescent="0.3">
      <c r="A421" s="2" t="s">
        <v>22</v>
      </c>
      <c r="B421" s="3" t="s">
        <v>34</v>
      </c>
      <c r="C421" s="3" t="s">
        <v>11</v>
      </c>
      <c r="D421" s="4">
        <v>4894</v>
      </c>
      <c r="E421" s="4">
        <v>1525</v>
      </c>
    </row>
    <row r="422" spans="1:5" x14ac:dyDescent="0.3">
      <c r="A422" s="2" t="s">
        <v>22</v>
      </c>
      <c r="B422" s="3" t="s">
        <v>34</v>
      </c>
      <c r="C422" s="3" t="s">
        <v>12</v>
      </c>
      <c r="D422" s="4">
        <v>4157</v>
      </c>
      <c r="E422" s="4">
        <v>1669</v>
      </c>
    </row>
    <row r="423" spans="1:5" x14ac:dyDescent="0.3">
      <c r="A423" s="2" t="s">
        <v>22</v>
      </c>
      <c r="B423" s="3" t="s">
        <v>34</v>
      </c>
      <c r="C423" s="3" t="s">
        <v>13</v>
      </c>
      <c r="D423" s="4">
        <v>2843</v>
      </c>
      <c r="E423" s="4">
        <v>1139</v>
      </c>
    </row>
    <row r="424" spans="1:5" x14ac:dyDescent="0.3">
      <c r="A424" s="2" t="s">
        <v>23</v>
      </c>
      <c r="B424" s="3" t="s">
        <v>37</v>
      </c>
      <c r="C424" s="3" t="s">
        <v>2</v>
      </c>
      <c r="D424" s="4">
        <v>128205</v>
      </c>
      <c r="E424" s="4">
        <v>72243</v>
      </c>
    </row>
    <row r="425" spans="1:5" x14ac:dyDescent="0.3">
      <c r="A425" s="2" t="s">
        <v>23</v>
      </c>
      <c r="B425" s="3" t="s">
        <v>37</v>
      </c>
      <c r="C425" s="3" t="s">
        <v>3</v>
      </c>
      <c r="D425" s="4">
        <v>146722</v>
      </c>
      <c r="E425" s="4">
        <v>80418</v>
      </c>
    </row>
    <row r="426" spans="1:5" x14ac:dyDescent="0.3">
      <c r="A426" s="2" t="s">
        <v>23</v>
      </c>
      <c r="B426" s="3" t="s">
        <v>37</v>
      </c>
      <c r="C426" s="3" t="s">
        <v>4</v>
      </c>
      <c r="D426" s="4">
        <v>181517</v>
      </c>
      <c r="E426" s="4">
        <v>101905</v>
      </c>
    </row>
    <row r="427" spans="1:5" x14ac:dyDescent="0.3">
      <c r="A427" s="2" t="s">
        <v>23</v>
      </c>
      <c r="B427" s="3" t="s">
        <v>37</v>
      </c>
      <c r="C427" s="3" t="s">
        <v>5</v>
      </c>
      <c r="D427" s="4">
        <v>190317</v>
      </c>
      <c r="E427" s="4">
        <v>83963</v>
      </c>
    </row>
    <row r="428" spans="1:5" x14ac:dyDescent="0.3">
      <c r="A428" s="2" t="s">
        <v>23</v>
      </c>
      <c r="B428" s="3" t="s">
        <v>37</v>
      </c>
      <c r="C428" s="3" t="s">
        <v>6</v>
      </c>
      <c r="D428" s="4">
        <v>184176</v>
      </c>
      <c r="E428" s="4">
        <v>93856</v>
      </c>
    </row>
    <row r="429" spans="1:5" x14ac:dyDescent="0.3">
      <c r="A429" s="2" t="s">
        <v>23</v>
      </c>
      <c r="B429" s="3" t="s">
        <v>37</v>
      </c>
      <c r="C429" s="3" t="s">
        <v>7</v>
      </c>
      <c r="D429" s="4">
        <v>196499</v>
      </c>
      <c r="E429" s="4">
        <v>98924</v>
      </c>
    </row>
    <row r="430" spans="1:5" x14ac:dyDescent="0.3">
      <c r="A430" s="2" t="s">
        <v>23</v>
      </c>
      <c r="B430" s="3" t="s">
        <v>37</v>
      </c>
      <c r="C430" s="3" t="s">
        <v>8</v>
      </c>
      <c r="D430" s="4">
        <v>179047</v>
      </c>
      <c r="E430" s="4">
        <v>89104</v>
      </c>
    </row>
    <row r="431" spans="1:5" x14ac:dyDescent="0.3">
      <c r="A431" s="2" t="s">
        <v>23</v>
      </c>
      <c r="B431" s="3" t="s">
        <v>37</v>
      </c>
      <c r="C431" s="3" t="s">
        <v>9</v>
      </c>
      <c r="D431" s="4">
        <v>181391</v>
      </c>
      <c r="E431" s="4">
        <v>108438</v>
      </c>
    </row>
    <row r="432" spans="1:5" x14ac:dyDescent="0.3">
      <c r="A432" s="2" t="s">
        <v>23</v>
      </c>
      <c r="B432" s="3" t="s">
        <v>37</v>
      </c>
      <c r="C432" s="3" t="s">
        <v>10</v>
      </c>
      <c r="D432" s="4">
        <v>200626</v>
      </c>
      <c r="E432" s="4">
        <v>89874</v>
      </c>
    </row>
    <row r="433" spans="1:5" x14ac:dyDescent="0.3">
      <c r="A433" s="2" t="s">
        <v>23</v>
      </c>
      <c r="B433" s="3" t="s">
        <v>37</v>
      </c>
      <c r="C433" s="3" t="s">
        <v>11</v>
      </c>
      <c r="D433" s="4">
        <v>183049</v>
      </c>
      <c r="E433" s="4">
        <v>82690</v>
      </c>
    </row>
    <row r="434" spans="1:5" x14ac:dyDescent="0.3">
      <c r="A434" s="2" t="s">
        <v>23</v>
      </c>
      <c r="B434" s="3" t="s">
        <v>37</v>
      </c>
      <c r="C434" s="3" t="s">
        <v>12</v>
      </c>
      <c r="D434" s="4">
        <v>168647</v>
      </c>
      <c r="E434" s="4">
        <v>88726</v>
      </c>
    </row>
    <row r="435" spans="1:5" x14ac:dyDescent="0.3">
      <c r="A435" s="2" t="s">
        <v>23</v>
      </c>
      <c r="B435" s="3" t="s">
        <v>37</v>
      </c>
      <c r="C435" s="3" t="s">
        <v>13</v>
      </c>
      <c r="D435" s="4">
        <v>199151</v>
      </c>
      <c r="E435" s="4">
        <v>136647</v>
      </c>
    </row>
    <row r="436" spans="1:5" x14ac:dyDescent="0.3">
      <c r="A436" s="2" t="s">
        <v>23</v>
      </c>
      <c r="B436" s="3" t="s">
        <v>38</v>
      </c>
      <c r="C436" s="3" t="s">
        <v>2</v>
      </c>
      <c r="D436" s="4">
        <v>149027</v>
      </c>
      <c r="E436" s="4">
        <v>68160</v>
      </c>
    </row>
    <row r="437" spans="1:5" x14ac:dyDescent="0.3">
      <c r="A437" s="2" t="s">
        <v>23</v>
      </c>
      <c r="B437" s="3" t="s">
        <v>38</v>
      </c>
      <c r="C437" s="3" t="s">
        <v>3</v>
      </c>
      <c r="D437" s="4">
        <v>191378</v>
      </c>
      <c r="E437" s="4">
        <v>77003</v>
      </c>
    </row>
    <row r="438" spans="1:5" x14ac:dyDescent="0.3">
      <c r="A438" s="2" t="s">
        <v>23</v>
      </c>
      <c r="B438" s="3" t="s">
        <v>38</v>
      </c>
      <c r="C438" s="3" t="s">
        <v>4</v>
      </c>
      <c r="D438" s="4">
        <v>220145</v>
      </c>
      <c r="E438" s="4">
        <v>101323</v>
      </c>
    </row>
    <row r="439" spans="1:5" x14ac:dyDescent="0.3">
      <c r="A439" s="2" t="s">
        <v>23</v>
      </c>
      <c r="B439" s="3" t="s">
        <v>38</v>
      </c>
      <c r="C439" s="3" t="s">
        <v>5</v>
      </c>
      <c r="D439" s="4">
        <v>208056</v>
      </c>
      <c r="E439" s="4">
        <v>84562</v>
      </c>
    </row>
    <row r="440" spans="1:5" x14ac:dyDescent="0.3">
      <c r="A440" s="2" t="s">
        <v>23</v>
      </c>
      <c r="B440" s="3" t="s">
        <v>38</v>
      </c>
      <c r="C440" s="3" t="s">
        <v>6</v>
      </c>
      <c r="D440" s="4">
        <v>182118</v>
      </c>
      <c r="E440" s="4">
        <v>85256</v>
      </c>
    </row>
    <row r="441" spans="1:5" x14ac:dyDescent="0.3">
      <c r="A441" s="2" t="s">
        <v>23</v>
      </c>
      <c r="B441" s="3" t="s">
        <v>38</v>
      </c>
      <c r="C441" s="3" t="s">
        <v>7</v>
      </c>
      <c r="D441" s="4">
        <v>169269</v>
      </c>
      <c r="E441" s="4">
        <v>72894</v>
      </c>
    </row>
    <row r="442" spans="1:5" x14ac:dyDescent="0.3">
      <c r="A442" s="2" t="s">
        <v>23</v>
      </c>
      <c r="B442" s="3" t="s">
        <v>38</v>
      </c>
      <c r="C442" s="3" t="s">
        <v>8</v>
      </c>
      <c r="D442" s="4">
        <v>178216</v>
      </c>
      <c r="E442" s="4">
        <v>92578</v>
      </c>
    </row>
    <row r="443" spans="1:5" x14ac:dyDescent="0.3">
      <c r="A443" s="2" t="s">
        <v>23</v>
      </c>
      <c r="B443" s="3" t="s">
        <v>38</v>
      </c>
      <c r="C443" s="3" t="s">
        <v>9</v>
      </c>
      <c r="D443" s="4">
        <v>194310</v>
      </c>
      <c r="E443" s="4">
        <v>120681</v>
      </c>
    </row>
    <row r="444" spans="1:5" x14ac:dyDescent="0.3">
      <c r="A444" s="2" t="s">
        <v>23</v>
      </c>
      <c r="B444" s="3" t="s">
        <v>38</v>
      </c>
      <c r="C444" s="3" t="s">
        <v>10</v>
      </c>
      <c r="D444" s="4">
        <v>192604</v>
      </c>
      <c r="E444" s="4">
        <v>75498</v>
      </c>
    </row>
    <row r="445" spans="1:5" x14ac:dyDescent="0.3">
      <c r="A445" s="2" t="s">
        <v>23</v>
      </c>
      <c r="B445" s="3" t="s">
        <v>38</v>
      </c>
      <c r="C445" s="3" t="s">
        <v>11</v>
      </c>
      <c r="D445" s="4">
        <v>209919</v>
      </c>
      <c r="E445" s="4">
        <v>77674</v>
      </c>
    </row>
    <row r="446" spans="1:5" x14ac:dyDescent="0.3">
      <c r="A446" s="2" t="s">
        <v>23</v>
      </c>
      <c r="B446" s="3" t="s">
        <v>38</v>
      </c>
      <c r="C446" s="3" t="s">
        <v>12</v>
      </c>
      <c r="D446" s="4">
        <v>198136</v>
      </c>
      <c r="E446" s="4">
        <v>87040</v>
      </c>
    </row>
    <row r="447" spans="1:5" x14ac:dyDescent="0.3">
      <c r="A447" s="2" t="s">
        <v>23</v>
      </c>
      <c r="B447" s="3" t="s">
        <v>38</v>
      </c>
      <c r="C447" s="3" t="s">
        <v>13</v>
      </c>
      <c r="D447" s="4">
        <v>193361</v>
      </c>
      <c r="E447" s="4">
        <v>134998</v>
      </c>
    </row>
    <row r="448" spans="1:5" x14ac:dyDescent="0.3">
      <c r="A448" s="2" t="s">
        <v>23</v>
      </c>
      <c r="B448" s="3" t="s">
        <v>36</v>
      </c>
      <c r="C448" s="3" t="s">
        <v>2</v>
      </c>
      <c r="D448" s="4">
        <v>52239</v>
      </c>
      <c r="E448" s="4">
        <v>24478</v>
      </c>
    </row>
    <row r="449" spans="1:5" x14ac:dyDescent="0.3">
      <c r="A449" s="2" t="s">
        <v>23</v>
      </c>
      <c r="B449" s="3" t="s">
        <v>36</v>
      </c>
      <c r="C449" s="3" t="s">
        <v>3</v>
      </c>
      <c r="D449" s="4">
        <v>57003</v>
      </c>
      <c r="E449" s="4">
        <v>23437</v>
      </c>
    </row>
    <row r="450" spans="1:5" x14ac:dyDescent="0.3">
      <c r="A450" s="2" t="s">
        <v>23</v>
      </c>
      <c r="B450" s="3" t="s">
        <v>36</v>
      </c>
      <c r="C450" s="3" t="s">
        <v>4</v>
      </c>
      <c r="D450" s="4">
        <v>71606</v>
      </c>
      <c r="E450" s="4">
        <v>28421</v>
      </c>
    </row>
    <row r="451" spans="1:5" x14ac:dyDescent="0.3">
      <c r="A451" s="2" t="s">
        <v>23</v>
      </c>
      <c r="B451" s="3" t="s">
        <v>36</v>
      </c>
      <c r="C451" s="3" t="s">
        <v>5</v>
      </c>
      <c r="D451" s="4">
        <v>76429</v>
      </c>
      <c r="E451" s="4">
        <v>27916</v>
      </c>
    </row>
    <row r="452" spans="1:5" x14ac:dyDescent="0.3">
      <c r="A452" s="2" t="s">
        <v>23</v>
      </c>
      <c r="B452" s="3" t="s">
        <v>36</v>
      </c>
      <c r="C452" s="3" t="s">
        <v>6</v>
      </c>
      <c r="D452" s="4">
        <v>75397</v>
      </c>
      <c r="E452" s="4">
        <v>28619</v>
      </c>
    </row>
    <row r="453" spans="1:5" x14ac:dyDescent="0.3">
      <c r="A453" s="2" t="s">
        <v>23</v>
      </c>
      <c r="B453" s="3" t="s">
        <v>36</v>
      </c>
      <c r="C453" s="3" t="s">
        <v>7</v>
      </c>
      <c r="D453" s="4">
        <v>70181</v>
      </c>
      <c r="E453" s="4">
        <v>28141</v>
      </c>
    </row>
    <row r="454" spans="1:5" x14ac:dyDescent="0.3">
      <c r="A454" s="2" t="s">
        <v>23</v>
      </c>
      <c r="B454" s="3" t="s">
        <v>36</v>
      </c>
      <c r="C454" s="3" t="s">
        <v>8</v>
      </c>
      <c r="D454" s="4">
        <v>64326</v>
      </c>
      <c r="E454" s="4">
        <v>28126</v>
      </c>
    </row>
    <row r="455" spans="1:5" x14ac:dyDescent="0.3">
      <c r="A455" s="2" t="s">
        <v>23</v>
      </c>
      <c r="B455" s="3" t="s">
        <v>36</v>
      </c>
      <c r="C455" s="3" t="s">
        <v>9</v>
      </c>
      <c r="D455" s="4">
        <v>54543</v>
      </c>
      <c r="E455" s="4">
        <v>30749</v>
      </c>
    </row>
    <row r="456" spans="1:5" x14ac:dyDescent="0.3">
      <c r="A456" s="2" t="s">
        <v>23</v>
      </c>
      <c r="B456" s="3" t="s">
        <v>36</v>
      </c>
      <c r="C456" s="3" t="s">
        <v>10</v>
      </c>
      <c r="D456" s="4">
        <v>53847</v>
      </c>
      <c r="E456" s="4">
        <v>23930</v>
      </c>
    </row>
    <row r="457" spans="1:5" x14ac:dyDescent="0.3">
      <c r="A457" s="2" t="s">
        <v>23</v>
      </c>
      <c r="B457" s="3" t="s">
        <v>36</v>
      </c>
      <c r="C457" s="3" t="s">
        <v>11</v>
      </c>
      <c r="D457" s="4">
        <v>77109</v>
      </c>
      <c r="E457" s="4">
        <v>28519</v>
      </c>
    </row>
    <row r="458" spans="1:5" x14ac:dyDescent="0.3">
      <c r="A458" s="2" t="s">
        <v>23</v>
      </c>
      <c r="B458" s="3" t="s">
        <v>36</v>
      </c>
      <c r="C458" s="3" t="s">
        <v>12</v>
      </c>
      <c r="D458" s="4">
        <v>90762</v>
      </c>
      <c r="E458" s="4">
        <v>33598</v>
      </c>
    </row>
    <row r="459" spans="1:5" x14ac:dyDescent="0.3">
      <c r="A459" s="2" t="s">
        <v>23</v>
      </c>
      <c r="B459" s="3" t="s">
        <v>36</v>
      </c>
      <c r="C459" s="3" t="s">
        <v>13</v>
      </c>
      <c r="D459" s="4">
        <v>82580</v>
      </c>
      <c r="E459" s="4">
        <v>51407</v>
      </c>
    </row>
    <row r="460" spans="1:5" x14ac:dyDescent="0.3">
      <c r="A460" s="2" t="s">
        <v>23</v>
      </c>
      <c r="B460" s="3" t="s">
        <v>35</v>
      </c>
      <c r="C460" s="3" t="s">
        <v>2</v>
      </c>
      <c r="D460" s="4">
        <v>162221</v>
      </c>
      <c r="E460" s="4">
        <v>80120</v>
      </c>
    </row>
    <row r="461" spans="1:5" x14ac:dyDescent="0.3">
      <c r="A461" s="2" t="s">
        <v>23</v>
      </c>
      <c r="B461" s="3" t="s">
        <v>35</v>
      </c>
      <c r="C461" s="3" t="s">
        <v>3</v>
      </c>
      <c r="D461" s="4">
        <v>145490</v>
      </c>
      <c r="E461" s="4">
        <v>67970</v>
      </c>
    </row>
    <row r="462" spans="1:5" x14ac:dyDescent="0.3">
      <c r="A462" s="2" t="s">
        <v>23</v>
      </c>
      <c r="B462" s="3" t="s">
        <v>35</v>
      </c>
      <c r="C462" s="3" t="s">
        <v>4</v>
      </c>
      <c r="D462" s="4">
        <v>205712</v>
      </c>
      <c r="E462" s="4">
        <v>97131</v>
      </c>
    </row>
    <row r="463" spans="1:5" x14ac:dyDescent="0.3">
      <c r="A463" s="2" t="s">
        <v>23</v>
      </c>
      <c r="B463" s="3" t="s">
        <v>35</v>
      </c>
      <c r="C463" s="3" t="s">
        <v>5</v>
      </c>
      <c r="D463" s="4">
        <v>314294</v>
      </c>
      <c r="E463" s="4">
        <v>99842</v>
      </c>
    </row>
    <row r="464" spans="1:5" x14ac:dyDescent="0.3">
      <c r="A464" s="2" t="s">
        <v>23</v>
      </c>
      <c r="B464" s="3" t="s">
        <v>35</v>
      </c>
      <c r="C464" s="3" t="s">
        <v>6</v>
      </c>
      <c r="D464" s="4">
        <v>292400</v>
      </c>
      <c r="E464" s="4">
        <v>97124</v>
      </c>
    </row>
    <row r="465" spans="1:5" x14ac:dyDescent="0.3">
      <c r="A465" s="2" t="s">
        <v>23</v>
      </c>
      <c r="B465" s="3" t="s">
        <v>35</v>
      </c>
      <c r="C465" s="3" t="s">
        <v>7</v>
      </c>
      <c r="D465" s="4">
        <v>245690</v>
      </c>
      <c r="E465" s="4">
        <v>82546</v>
      </c>
    </row>
    <row r="466" spans="1:5" x14ac:dyDescent="0.3">
      <c r="A466" s="2" t="s">
        <v>23</v>
      </c>
      <c r="B466" s="3" t="s">
        <v>35</v>
      </c>
      <c r="C466" s="3" t="s">
        <v>8</v>
      </c>
      <c r="D466" s="4">
        <v>218053</v>
      </c>
      <c r="E466" s="4">
        <v>88513</v>
      </c>
    </row>
    <row r="467" spans="1:5" x14ac:dyDescent="0.3">
      <c r="A467" s="2" t="s">
        <v>23</v>
      </c>
      <c r="B467" s="3" t="s">
        <v>35</v>
      </c>
      <c r="C467" s="3" t="s">
        <v>9</v>
      </c>
      <c r="D467" s="4">
        <v>211352</v>
      </c>
      <c r="E467" s="4">
        <v>106937</v>
      </c>
    </row>
    <row r="468" spans="1:5" x14ac:dyDescent="0.3">
      <c r="A468" s="2" t="s">
        <v>23</v>
      </c>
      <c r="B468" s="3" t="s">
        <v>35</v>
      </c>
      <c r="C468" s="3" t="s">
        <v>10</v>
      </c>
      <c r="D468" s="4">
        <v>292059</v>
      </c>
      <c r="E468" s="4">
        <v>98704</v>
      </c>
    </row>
    <row r="469" spans="1:5" x14ac:dyDescent="0.3">
      <c r="A469" s="2" t="s">
        <v>23</v>
      </c>
      <c r="B469" s="3" t="s">
        <v>35</v>
      </c>
      <c r="C469" s="3" t="s">
        <v>11</v>
      </c>
      <c r="D469" s="4">
        <v>298169</v>
      </c>
      <c r="E469" s="4">
        <v>120545</v>
      </c>
    </row>
    <row r="470" spans="1:5" x14ac:dyDescent="0.3">
      <c r="A470" s="2" t="s">
        <v>23</v>
      </c>
      <c r="B470" s="3" t="s">
        <v>35</v>
      </c>
      <c r="C470" s="3" t="s">
        <v>12</v>
      </c>
      <c r="D470" s="4">
        <v>284915</v>
      </c>
      <c r="E470" s="4">
        <v>149088</v>
      </c>
    </row>
    <row r="471" spans="1:5" x14ac:dyDescent="0.3">
      <c r="A471" s="2" t="s">
        <v>23</v>
      </c>
      <c r="B471" s="3" t="s">
        <v>35</v>
      </c>
      <c r="C471" s="3" t="s">
        <v>13</v>
      </c>
      <c r="D471" s="4">
        <v>297107</v>
      </c>
      <c r="E471" s="4">
        <v>280473</v>
      </c>
    </row>
    <row r="472" spans="1:5" x14ac:dyDescent="0.3">
      <c r="A472" s="2" t="s">
        <v>23</v>
      </c>
      <c r="B472" s="3" t="s">
        <v>34</v>
      </c>
      <c r="C472" s="3" t="s">
        <v>2</v>
      </c>
      <c r="D472" s="4">
        <v>6035</v>
      </c>
      <c r="E472" s="4">
        <v>696</v>
      </c>
    </row>
    <row r="473" spans="1:5" x14ac:dyDescent="0.3">
      <c r="A473" s="2" t="s">
        <v>23</v>
      </c>
      <c r="B473" s="3" t="s">
        <v>34</v>
      </c>
      <c r="C473" s="3" t="s">
        <v>3</v>
      </c>
      <c r="D473" s="4">
        <v>6447</v>
      </c>
      <c r="E473" s="4">
        <v>803</v>
      </c>
    </row>
    <row r="474" spans="1:5" x14ac:dyDescent="0.3">
      <c r="A474" s="2" t="s">
        <v>23</v>
      </c>
      <c r="B474" s="3" t="s">
        <v>34</v>
      </c>
      <c r="C474" s="3" t="s">
        <v>4</v>
      </c>
      <c r="D474" s="4">
        <v>6698</v>
      </c>
      <c r="E474" s="4">
        <v>740</v>
      </c>
    </row>
    <row r="475" spans="1:5" x14ac:dyDescent="0.3">
      <c r="A475" s="2" t="s">
        <v>23</v>
      </c>
      <c r="B475" s="3" t="s">
        <v>34</v>
      </c>
      <c r="C475" s="3" t="s">
        <v>5</v>
      </c>
      <c r="D475" s="4">
        <v>6525</v>
      </c>
      <c r="E475" s="4">
        <v>761</v>
      </c>
    </row>
    <row r="476" spans="1:5" x14ac:dyDescent="0.3">
      <c r="A476" s="2" t="s">
        <v>23</v>
      </c>
      <c r="B476" s="3" t="s">
        <v>34</v>
      </c>
      <c r="C476" s="3" t="s">
        <v>6</v>
      </c>
      <c r="D476" s="4">
        <v>5786</v>
      </c>
      <c r="E476" s="4">
        <v>1020</v>
      </c>
    </row>
    <row r="477" spans="1:5" x14ac:dyDescent="0.3">
      <c r="A477" s="2" t="s">
        <v>23</v>
      </c>
      <c r="B477" s="3" t="s">
        <v>34</v>
      </c>
      <c r="C477" s="3" t="s">
        <v>7</v>
      </c>
      <c r="D477" s="4">
        <v>23543</v>
      </c>
      <c r="E477" s="4">
        <v>3077</v>
      </c>
    </row>
    <row r="478" spans="1:5" x14ac:dyDescent="0.3">
      <c r="A478" s="2" t="s">
        <v>23</v>
      </c>
      <c r="B478" s="3" t="s">
        <v>34</v>
      </c>
      <c r="C478" s="3" t="s">
        <v>8</v>
      </c>
      <c r="D478" s="4">
        <v>28383</v>
      </c>
      <c r="E478" s="4">
        <v>8070</v>
      </c>
    </row>
    <row r="479" spans="1:5" x14ac:dyDescent="0.3">
      <c r="A479" s="2" t="s">
        <v>23</v>
      </c>
      <c r="B479" s="3" t="s">
        <v>34</v>
      </c>
      <c r="C479" s="3" t="s">
        <v>9</v>
      </c>
      <c r="D479" s="4">
        <v>24822</v>
      </c>
      <c r="E479" s="4">
        <v>16848</v>
      </c>
    </row>
    <row r="480" spans="1:5" x14ac:dyDescent="0.3">
      <c r="A480" s="2" t="s">
        <v>23</v>
      </c>
      <c r="B480" s="3" t="s">
        <v>34</v>
      </c>
      <c r="C480" s="3" t="s">
        <v>10</v>
      </c>
      <c r="D480" s="4">
        <v>9053</v>
      </c>
      <c r="E480" s="4">
        <v>2972</v>
      </c>
    </row>
    <row r="481" spans="1:5" x14ac:dyDescent="0.3">
      <c r="A481" s="2" t="s">
        <v>23</v>
      </c>
      <c r="B481" s="3" t="s">
        <v>34</v>
      </c>
      <c r="C481" s="3" t="s">
        <v>11</v>
      </c>
      <c r="D481" s="4">
        <v>12261</v>
      </c>
      <c r="E481" s="4">
        <v>3769</v>
      </c>
    </row>
    <row r="482" spans="1:5" x14ac:dyDescent="0.3">
      <c r="A482" s="2" t="s">
        <v>23</v>
      </c>
      <c r="B482" s="3" t="s">
        <v>34</v>
      </c>
      <c r="C482" s="3" t="s">
        <v>12</v>
      </c>
      <c r="D482" s="4">
        <v>10839</v>
      </c>
      <c r="E482" s="4">
        <v>3890</v>
      </c>
    </row>
    <row r="483" spans="1:5" x14ac:dyDescent="0.3">
      <c r="A483" s="2" t="s">
        <v>23</v>
      </c>
      <c r="B483" s="3" t="s">
        <v>34</v>
      </c>
      <c r="C483" s="3" t="s">
        <v>13</v>
      </c>
      <c r="D483" s="4">
        <v>7161</v>
      </c>
      <c r="E483" s="4">
        <v>2338</v>
      </c>
    </row>
    <row r="484" spans="1:5" x14ac:dyDescent="0.3">
      <c r="A484" s="2" t="s">
        <v>24</v>
      </c>
      <c r="B484" s="3" t="s">
        <v>37</v>
      </c>
      <c r="C484" s="3" t="s">
        <v>2</v>
      </c>
      <c r="D484" s="4">
        <v>92374</v>
      </c>
      <c r="E484" s="4">
        <v>31544</v>
      </c>
    </row>
    <row r="485" spans="1:5" x14ac:dyDescent="0.3">
      <c r="A485" s="2" t="s">
        <v>24</v>
      </c>
      <c r="B485" s="3" t="s">
        <v>37</v>
      </c>
      <c r="C485" s="3" t="s">
        <v>3</v>
      </c>
      <c r="D485" s="4">
        <v>96934</v>
      </c>
      <c r="E485" s="4">
        <v>35857</v>
      </c>
    </row>
    <row r="486" spans="1:5" x14ac:dyDescent="0.3">
      <c r="A486" s="2" t="s">
        <v>24</v>
      </c>
      <c r="B486" s="3" t="s">
        <v>37</v>
      </c>
      <c r="C486" s="3" t="s">
        <v>4</v>
      </c>
      <c r="D486" s="4">
        <v>108479</v>
      </c>
      <c r="E486" s="4">
        <v>49901</v>
      </c>
    </row>
    <row r="487" spans="1:5" x14ac:dyDescent="0.3">
      <c r="A487" s="2" t="s">
        <v>24</v>
      </c>
      <c r="B487" s="3" t="s">
        <v>37</v>
      </c>
      <c r="C487" s="3" t="s">
        <v>5</v>
      </c>
      <c r="D487" s="4">
        <v>108165</v>
      </c>
      <c r="E487" s="4">
        <v>38449</v>
      </c>
    </row>
    <row r="488" spans="1:5" x14ac:dyDescent="0.3">
      <c r="A488" s="2" t="s">
        <v>24</v>
      </c>
      <c r="B488" s="3" t="s">
        <v>37</v>
      </c>
      <c r="C488" s="3" t="s">
        <v>6</v>
      </c>
      <c r="D488" s="4">
        <v>102490</v>
      </c>
      <c r="E488" s="4">
        <v>44165</v>
      </c>
    </row>
    <row r="489" spans="1:5" x14ac:dyDescent="0.3">
      <c r="A489" s="2" t="s">
        <v>24</v>
      </c>
      <c r="B489" s="3" t="s">
        <v>37</v>
      </c>
      <c r="C489" s="3" t="s">
        <v>7</v>
      </c>
      <c r="D489" s="4">
        <v>106324</v>
      </c>
      <c r="E489" s="4">
        <v>46846</v>
      </c>
    </row>
    <row r="490" spans="1:5" x14ac:dyDescent="0.3">
      <c r="A490" s="2" t="s">
        <v>24</v>
      </c>
      <c r="B490" s="3" t="s">
        <v>37</v>
      </c>
      <c r="C490" s="3" t="s">
        <v>8</v>
      </c>
      <c r="D490" s="4">
        <v>101121</v>
      </c>
      <c r="E490" s="4">
        <v>38207</v>
      </c>
    </row>
    <row r="491" spans="1:5" x14ac:dyDescent="0.3">
      <c r="A491" s="2" t="s">
        <v>24</v>
      </c>
      <c r="B491" s="3" t="s">
        <v>37</v>
      </c>
      <c r="C491" s="3" t="s">
        <v>9</v>
      </c>
      <c r="D491" s="4">
        <v>106292</v>
      </c>
      <c r="E491" s="4">
        <v>45246</v>
      </c>
    </row>
    <row r="492" spans="1:5" x14ac:dyDescent="0.3">
      <c r="A492" s="2" t="s">
        <v>24</v>
      </c>
      <c r="B492" s="3" t="s">
        <v>37</v>
      </c>
      <c r="C492" s="3" t="s">
        <v>10</v>
      </c>
      <c r="D492" s="4">
        <v>118391</v>
      </c>
      <c r="E492" s="4">
        <v>39719</v>
      </c>
    </row>
    <row r="493" spans="1:5" x14ac:dyDescent="0.3">
      <c r="A493" s="2" t="s">
        <v>24</v>
      </c>
      <c r="B493" s="3" t="s">
        <v>37</v>
      </c>
      <c r="C493" s="3" t="s">
        <v>11</v>
      </c>
      <c r="D493" s="4">
        <v>107415</v>
      </c>
      <c r="E493" s="4">
        <v>37255</v>
      </c>
    </row>
    <row r="494" spans="1:5" x14ac:dyDescent="0.3">
      <c r="A494" s="2" t="s">
        <v>24</v>
      </c>
      <c r="B494" s="3" t="s">
        <v>37</v>
      </c>
      <c r="C494" s="3" t="s">
        <v>12</v>
      </c>
      <c r="D494" s="4">
        <v>100594</v>
      </c>
      <c r="E494" s="4">
        <v>37655</v>
      </c>
    </row>
    <row r="495" spans="1:5" x14ac:dyDescent="0.3">
      <c r="A495" s="2" t="s">
        <v>24</v>
      </c>
      <c r="B495" s="3" t="s">
        <v>37</v>
      </c>
      <c r="C495" s="3" t="s">
        <v>13</v>
      </c>
      <c r="D495" s="4">
        <v>119029</v>
      </c>
      <c r="E495" s="4">
        <v>56864</v>
      </c>
    </row>
    <row r="496" spans="1:5" x14ac:dyDescent="0.3">
      <c r="A496" s="2" t="s">
        <v>24</v>
      </c>
      <c r="B496" s="3" t="s">
        <v>38</v>
      </c>
      <c r="C496" s="3" t="s">
        <v>2</v>
      </c>
      <c r="D496" s="4">
        <v>99891</v>
      </c>
      <c r="E496" s="4">
        <v>26480</v>
      </c>
    </row>
    <row r="497" spans="1:5" x14ac:dyDescent="0.3">
      <c r="A497" s="2" t="s">
        <v>24</v>
      </c>
      <c r="B497" s="3" t="s">
        <v>38</v>
      </c>
      <c r="C497" s="3" t="s">
        <v>3</v>
      </c>
      <c r="D497" s="4">
        <v>127405</v>
      </c>
      <c r="E497" s="4">
        <v>36033</v>
      </c>
    </row>
    <row r="498" spans="1:5" x14ac:dyDescent="0.3">
      <c r="A498" s="2" t="s">
        <v>24</v>
      </c>
      <c r="B498" s="3" t="s">
        <v>38</v>
      </c>
      <c r="C498" s="3" t="s">
        <v>4</v>
      </c>
      <c r="D498" s="4">
        <v>135473</v>
      </c>
      <c r="E498" s="4">
        <v>50392</v>
      </c>
    </row>
    <row r="499" spans="1:5" x14ac:dyDescent="0.3">
      <c r="A499" s="2" t="s">
        <v>24</v>
      </c>
      <c r="B499" s="3" t="s">
        <v>38</v>
      </c>
      <c r="C499" s="3" t="s">
        <v>5</v>
      </c>
      <c r="D499" s="4">
        <v>125304</v>
      </c>
      <c r="E499" s="4">
        <v>39987</v>
      </c>
    </row>
    <row r="500" spans="1:5" x14ac:dyDescent="0.3">
      <c r="A500" s="2" t="s">
        <v>24</v>
      </c>
      <c r="B500" s="3" t="s">
        <v>38</v>
      </c>
      <c r="C500" s="3" t="s">
        <v>6</v>
      </c>
      <c r="D500" s="4">
        <v>112993</v>
      </c>
      <c r="E500" s="4">
        <v>39022</v>
      </c>
    </row>
    <row r="501" spans="1:5" x14ac:dyDescent="0.3">
      <c r="A501" s="2" t="s">
        <v>24</v>
      </c>
      <c r="B501" s="3" t="s">
        <v>38</v>
      </c>
      <c r="C501" s="3" t="s">
        <v>7</v>
      </c>
      <c r="D501" s="4">
        <v>103302</v>
      </c>
      <c r="E501" s="4">
        <v>31352</v>
      </c>
    </row>
    <row r="502" spans="1:5" x14ac:dyDescent="0.3">
      <c r="A502" s="2" t="s">
        <v>24</v>
      </c>
      <c r="B502" s="3" t="s">
        <v>38</v>
      </c>
      <c r="C502" s="3" t="s">
        <v>8</v>
      </c>
      <c r="D502" s="4">
        <v>105898</v>
      </c>
      <c r="E502" s="4">
        <v>35176</v>
      </c>
    </row>
    <row r="503" spans="1:5" x14ac:dyDescent="0.3">
      <c r="A503" s="2" t="s">
        <v>24</v>
      </c>
      <c r="B503" s="3" t="s">
        <v>38</v>
      </c>
      <c r="C503" s="3" t="s">
        <v>9</v>
      </c>
      <c r="D503" s="4">
        <v>110939</v>
      </c>
      <c r="E503" s="4">
        <v>47020</v>
      </c>
    </row>
    <row r="504" spans="1:5" x14ac:dyDescent="0.3">
      <c r="A504" s="2" t="s">
        <v>24</v>
      </c>
      <c r="B504" s="3" t="s">
        <v>38</v>
      </c>
      <c r="C504" s="3" t="s">
        <v>10</v>
      </c>
      <c r="D504" s="4">
        <v>114676</v>
      </c>
      <c r="E504" s="4">
        <v>31121</v>
      </c>
    </row>
    <row r="505" spans="1:5" x14ac:dyDescent="0.3">
      <c r="A505" s="2" t="s">
        <v>24</v>
      </c>
      <c r="B505" s="3" t="s">
        <v>38</v>
      </c>
      <c r="C505" s="3" t="s">
        <v>11</v>
      </c>
      <c r="D505" s="4">
        <v>123571</v>
      </c>
      <c r="E505" s="4">
        <v>37911</v>
      </c>
    </row>
    <row r="506" spans="1:5" x14ac:dyDescent="0.3">
      <c r="A506" s="2" t="s">
        <v>24</v>
      </c>
      <c r="B506" s="3" t="s">
        <v>38</v>
      </c>
      <c r="C506" s="3" t="s">
        <v>12</v>
      </c>
      <c r="D506" s="4">
        <v>115478</v>
      </c>
      <c r="E506" s="4">
        <v>45209</v>
      </c>
    </row>
    <row r="507" spans="1:5" x14ac:dyDescent="0.3">
      <c r="A507" s="2" t="s">
        <v>24</v>
      </c>
      <c r="B507" s="3" t="s">
        <v>38</v>
      </c>
      <c r="C507" s="3" t="s">
        <v>13</v>
      </c>
      <c r="D507" s="4">
        <v>113646</v>
      </c>
      <c r="E507" s="4">
        <v>67645</v>
      </c>
    </row>
    <row r="508" spans="1:5" x14ac:dyDescent="0.3">
      <c r="A508" s="2" t="s">
        <v>24</v>
      </c>
      <c r="B508" s="3" t="s">
        <v>36</v>
      </c>
      <c r="C508" s="3" t="s">
        <v>2</v>
      </c>
      <c r="D508" s="4">
        <v>28695</v>
      </c>
      <c r="E508" s="4">
        <v>10120</v>
      </c>
    </row>
    <row r="509" spans="1:5" x14ac:dyDescent="0.3">
      <c r="A509" s="2" t="s">
        <v>24</v>
      </c>
      <c r="B509" s="3" t="s">
        <v>36</v>
      </c>
      <c r="C509" s="3" t="s">
        <v>3</v>
      </c>
      <c r="D509" s="4">
        <v>30234</v>
      </c>
      <c r="E509" s="4">
        <v>9730</v>
      </c>
    </row>
    <row r="510" spans="1:5" x14ac:dyDescent="0.3">
      <c r="A510" s="2" t="s">
        <v>24</v>
      </c>
      <c r="B510" s="3" t="s">
        <v>36</v>
      </c>
      <c r="C510" s="3" t="s">
        <v>4</v>
      </c>
      <c r="D510" s="4">
        <v>36487</v>
      </c>
      <c r="E510" s="4">
        <v>12023</v>
      </c>
    </row>
    <row r="511" spans="1:5" x14ac:dyDescent="0.3">
      <c r="A511" s="2" t="s">
        <v>24</v>
      </c>
      <c r="B511" s="3" t="s">
        <v>36</v>
      </c>
      <c r="C511" s="3" t="s">
        <v>5</v>
      </c>
      <c r="D511" s="4">
        <v>41497</v>
      </c>
      <c r="E511" s="4">
        <v>13289</v>
      </c>
    </row>
    <row r="512" spans="1:5" x14ac:dyDescent="0.3">
      <c r="A512" s="2" t="s">
        <v>24</v>
      </c>
      <c r="B512" s="3" t="s">
        <v>36</v>
      </c>
      <c r="C512" s="3" t="s">
        <v>6</v>
      </c>
      <c r="D512" s="4">
        <v>41267</v>
      </c>
      <c r="E512" s="4">
        <v>14792</v>
      </c>
    </row>
    <row r="513" spans="1:5" x14ac:dyDescent="0.3">
      <c r="A513" s="2" t="s">
        <v>24</v>
      </c>
      <c r="B513" s="3" t="s">
        <v>36</v>
      </c>
      <c r="C513" s="3" t="s">
        <v>7</v>
      </c>
      <c r="D513" s="4">
        <v>37349</v>
      </c>
      <c r="E513" s="4">
        <v>12836</v>
      </c>
    </row>
    <row r="514" spans="1:5" x14ac:dyDescent="0.3">
      <c r="A514" s="2" t="s">
        <v>24</v>
      </c>
      <c r="B514" s="3" t="s">
        <v>36</v>
      </c>
      <c r="C514" s="3" t="s">
        <v>8</v>
      </c>
      <c r="D514" s="4">
        <v>36266</v>
      </c>
      <c r="E514" s="4">
        <v>14031</v>
      </c>
    </row>
    <row r="515" spans="1:5" x14ac:dyDescent="0.3">
      <c r="A515" s="2" t="s">
        <v>24</v>
      </c>
      <c r="B515" s="3" t="s">
        <v>36</v>
      </c>
      <c r="C515" s="3" t="s">
        <v>9</v>
      </c>
      <c r="D515" s="4">
        <v>31752</v>
      </c>
      <c r="E515" s="4">
        <v>13771</v>
      </c>
    </row>
    <row r="516" spans="1:5" x14ac:dyDescent="0.3">
      <c r="A516" s="2" t="s">
        <v>24</v>
      </c>
      <c r="B516" s="3" t="s">
        <v>36</v>
      </c>
      <c r="C516" s="3" t="s">
        <v>10</v>
      </c>
      <c r="D516" s="4">
        <v>32754</v>
      </c>
      <c r="E516" s="4">
        <v>10025</v>
      </c>
    </row>
    <row r="517" spans="1:5" x14ac:dyDescent="0.3">
      <c r="A517" s="2" t="s">
        <v>24</v>
      </c>
      <c r="B517" s="3" t="s">
        <v>36</v>
      </c>
      <c r="C517" s="3" t="s">
        <v>11</v>
      </c>
      <c r="D517" s="4">
        <v>40723</v>
      </c>
      <c r="E517" s="4">
        <v>12165</v>
      </c>
    </row>
    <row r="518" spans="1:5" x14ac:dyDescent="0.3">
      <c r="A518" s="2" t="s">
        <v>24</v>
      </c>
      <c r="B518" s="3" t="s">
        <v>36</v>
      </c>
      <c r="C518" s="3" t="s">
        <v>12</v>
      </c>
      <c r="D518" s="4">
        <v>46788</v>
      </c>
      <c r="E518" s="4">
        <v>15359</v>
      </c>
    </row>
    <row r="519" spans="1:5" x14ac:dyDescent="0.3">
      <c r="A519" s="2" t="s">
        <v>24</v>
      </c>
      <c r="B519" s="3" t="s">
        <v>36</v>
      </c>
      <c r="C519" s="3" t="s">
        <v>13</v>
      </c>
      <c r="D519" s="4">
        <v>45344</v>
      </c>
      <c r="E519" s="4">
        <v>25989</v>
      </c>
    </row>
    <row r="520" spans="1:5" x14ac:dyDescent="0.3">
      <c r="A520" s="2" t="s">
        <v>24</v>
      </c>
      <c r="B520" s="3" t="s">
        <v>35</v>
      </c>
      <c r="C520" s="3" t="s">
        <v>2</v>
      </c>
      <c r="D520" s="4">
        <v>126990</v>
      </c>
      <c r="E520" s="4">
        <v>37937</v>
      </c>
    </row>
    <row r="521" spans="1:5" x14ac:dyDescent="0.3">
      <c r="A521" s="2" t="s">
        <v>24</v>
      </c>
      <c r="B521" s="3" t="s">
        <v>35</v>
      </c>
      <c r="C521" s="3" t="s">
        <v>3</v>
      </c>
      <c r="D521" s="4">
        <v>115698</v>
      </c>
      <c r="E521" s="4">
        <v>29414</v>
      </c>
    </row>
    <row r="522" spans="1:5" x14ac:dyDescent="0.3">
      <c r="A522" s="2" t="s">
        <v>24</v>
      </c>
      <c r="B522" s="3" t="s">
        <v>35</v>
      </c>
      <c r="C522" s="3" t="s">
        <v>4</v>
      </c>
      <c r="D522" s="4">
        <v>133470</v>
      </c>
      <c r="E522" s="4">
        <v>44196</v>
      </c>
    </row>
    <row r="523" spans="1:5" x14ac:dyDescent="0.3">
      <c r="A523" s="2" t="s">
        <v>24</v>
      </c>
      <c r="B523" s="3" t="s">
        <v>35</v>
      </c>
      <c r="C523" s="3" t="s">
        <v>5</v>
      </c>
      <c r="D523" s="4">
        <v>185700</v>
      </c>
      <c r="E523" s="4">
        <v>39346</v>
      </c>
    </row>
    <row r="524" spans="1:5" x14ac:dyDescent="0.3">
      <c r="A524" s="2" t="s">
        <v>24</v>
      </c>
      <c r="B524" s="3" t="s">
        <v>35</v>
      </c>
      <c r="C524" s="3" t="s">
        <v>6</v>
      </c>
      <c r="D524" s="4">
        <v>175169</v>
      </c>
      <c r="E524" s="4">
        <v>36840</v>
      </c>
    </row>
    <row r="525" spans="1:5" x14ac:dyDescent="0.3">
      <c r="A525" s="2" t="s">
        <v>24</v>
      </c>
      <c r="B525" s="3" t="s">
        <v>35</v>
      </c>
      <c r="C525" s="3" t="s">
        <v>7</v>
      </c>
      <c r="D525" s="4">
        <v>155623</v>
      </c>
      <c r="E525" s="4">
        <v>29779</v>
      </c>
    </row>
    <row r="526" spans="1:5" x14ac:dyDescent="0.3">
      <c r="A526" s="2" t="s">
        <v>24</v>
      </c>
      <c r="B526" s="3" t="s">
        <v>35</v>
      </c>
      <c r="C526" s="3" t="s">
        <v>8</v>
      </c>
      <c r="D526" s="4">
        <v>148810</v>
      </c>
      <c r="E526" s="4">
        <v>31517</v>
      </c>
    </row>
    <row r="527" spans="1:5" x14ac:dyDescent="0.3">
      <c r="A527" s="2" t="s">
        <v>24</v>
      </c>
      <c r="B527" s="3" t="s">
        <v>35</v>
      </c>
      <c r="C527" s="3" t="s">
        <v>9</v>
      </c>
      <c r="D527" s="4">
        <v>154525</v>
      </c>
      <c r="E527" s="4">
        <v>36997</v>
      </c>
    </row>
    <row r="528" spans="1:5" x14ac:dyDescent="0.3">
      <c r="A528" s="2" t="s">
        <v>24</v>
      </c>
      <c r="B528" s="3" t="s">
        <v>35</v>
      </c>
      <c r="C528" s="3" t="s">
        <v>10</v>
      </c>
      <c r="D528" s="4">
        <v>197571</v>
      </c>
      <c r="E528" s="4">
        <v>41225</v>
      </c>
    </row>
    <row r="529" spans="1:5" x14ac:dyDescent="0.3">
      <c r="A529" s="2" t="s">
        <v>24</v>
      </c>
      <c r="B529" s="3" t="s">
        <v>35</v>
      </c>
      <c r="C529" s="3" t="s">
        <v>11</v>
      </c>
      <c r="D529" s="4">
        <v>207396</v>
      </c>
      <c r="E529" s="4">
        <v>55204</v>
      </c>
    </row>
    <row r="530" spans="1:5" x14ac:dyDescent="0.3">
      <c r="A530" s="2" t="s">
        <v>24</v>
      </c>
      <c r="B530" s="3" t="s">
        <v>35</v>
      </c>
      <c r="C530" s="3" t="s">
        <v>12</v>
      </c>
      <c r="D530" s="4">
        <v>195355</v>
      </c>
      <c r="E530" s="4">
        <v>70929</v>
      </c>
    </row>
    <row r="531" spans="1:5" x14ac:dyDescent="0.3">
      <c r="A531" s="2" t="s">
        <v>24</v>
      </c>
      <c r="B531" s="3" t="s">
        <v>35</v>
      </c>
      <c r="C531" s="3" t="s">
        <v>13</v>
      </c>
      <c r="D531" s="4">
        <v>171642</v>
      </c>
      <c r="E531" s="4">
        <v>126445</v>
      </c>
    </row>
    <row r="532" spans="1:5" x14ac:dyDescent="0.3">
      <c r="A532" s="2" t="s">
        <v>24</v>
      </c>
      <c r="B532" s="3" t="s">
        <v>34</v>
      </c>
      <c r="C532" s="3" t="s">
        <v>2</v>
      </c>
      <c r="D532" s="4">
        <v>3400</v>
      </c>
      <c r="E532" s="4">
        <v>445</v>
      </c>
    </row>
    <row r="533" spans="1:5" x14ac:dyDescent="0.3">
      <c r="A533" s="2" t="s">
        <v>24</v>
      </c>
      <c r="B533" s="3" t="s">
        <v>34</v>
      </c>
      <c r="C533" s="3" t="s">
        <v>3</v>
      </c>
      <c r="D533" s="4">
        <v>3902</v>
      </c>
      <c r="E533" s="4">
        <v>400</v>
      </c>
    </row>
    <row r="534" spans="1:5" x14ac:dyDescent="0.3">
      <c r="A534" s="2" t="s">
        <v>24</v>
      </c>
      <c r="B534" s="3" t="s">
        <v>34</v>
      </c>
      <c r="C534" s="3" t="s">
        <v>4</v>
      </c>
      <c r="D534" s="4">
        <v>4254</v>
      </c>
      <c r="E534" s="4">
        <v>375</v>
      </c>
    </row>
    <row r="535" spans="1:5" x14ac:dyDescent="0.3">
      <c r="A535" s="2" t="s">
        <v>24</v>
      </c>
      <c r="B535" s="3" t="s">
        <v>34</v>
      </c>
      <c r="C535" s="3" t="s">
        <v>5</v>
      </c>
      <c r="D535" s="4">
        <v>4389</v>
      </c>
      <c r="E535" s="4">
        <v>403</v>
      </c>
    </row>
    <row r="536" spans="1:5" x14ac:dyDescent="0.3">
      <c r="A536" s="2" t="s">
        <v>24</v>
      </c>
      <c r="B536" s="3" t="s">
        <v>34</v>
      </c>
      <c r="C536" s="3" t="s">
        <v>6</v>
      </c>
      <c r="D536" s="4">
        <v>3907</v>
      </c>
      <c r="E536" s="4">
        <v>679</v>
      </c>
    </row>
    <row r="537" spans="1:5" x14ac:dyDescent="0.3">
      <c r="A537" s="2" t="s">
        <v>24</v>
      </c>
      <c r="B537" s="3" t="s">
        <v>34</v>
      </c>
      <c r="C537" s="3" t="s">
        <v>7</v>
      </c>
      <c r="D537" s="4">
        <v>12851</v>
      </c>
      <c r="E537" s="4">
        <v>2249</v>
      </c>
    </row>
    <row r="538" spans="1:5" x14ac:dyDescent="0.3">
      <c r="A538" s="2" t="s">
        <v>24</v>
      </c>
      <c r="B538" s="3" t="s">
        <v>34</v>
      </c>
      <c r="C538" s="3" t="s">
        <v>8</v>
      </c>
      <c r="D538" s="4">
        <v>16021</v>
      </c>
      <c r="E538" s="4">
        <v>5329</v>
      </c>
    </row>
    <row r="539" spans="1:5" x14ac:dyDescent="0.3">
      <c r="A539" s="2" t="s">
        <v>24</v>
      </c>
      <c r="B539" s="3" t="s">
        <v>34</v>
      </c>
      <c r="C539" s="3" t="s">
        <v>9</v>
      </c>
      <c r="D539" s="4">
        <v>13015</v>
      </c>
      <c r="E539" s="4">
        <v>7814</v>
      </c>
    </row>
    <row r="540" spans="1:5" x14ac:dyDescent="0.3">
      <c r="A540" s="2" t="s">
        <v>24</v>
      </c>
      <c r="B540" s="3" t="s">
        <v>34</v>
      </c>
      <c r="C540" s="3" t="s">
        <v>10</v>
      </c>
      <c r="D540" s="4">
        <v>6954</v>
      </c>
      <c r="E540" s="4">
        <v>902</v>
      </c>
    </row>
    <row r="541" spans="1:5" x14ac:dyDescent="0.3">
      <c r="A541" s="2" t="s">
        <v>24</v>
      </c>
      <c r="B541" s="3" t="s">
        <v>34</v>
      </c>
      <c r="C541" s="3" t="s">
        <v>11</v>
      </c>
      <c r="D541" s="4">
        <v>8945</v>
      </c>
      <c r="E541" s="4">
        <v>1720</v>
      </c>
    </row>
    <row r="542" spans="1:5" x14ac:dyDescent="0.3">
      <c r="A542" s="2" t="s">
        <v>24</v>
      </c>
      <c r="B542" s="3" t="s">
        <v>34</v>
      </c>
      <c r="C542" s="3" t="s">
        <v>12</v>
      </c>
      <c r="D542" s="4">
        <v>8051</v>
      </c>
      <c r="E542" s="4">
        <v>1837</v>
      </c>
    </row>
    <row r="543" spans="1:5" x14ac:dyDescent="0.3">
      <c r="A543" s="2" t="s">
        <v>24</v>
      </c>
      <c r="B543" s="3" t="s">
        <v>34</v>
      </c>
      <c r="C543" s="3" t="s">
        <v>13</v>
      </c>
      <c r="D543" s="4">
        <v>6270</v>
      </c>
      <c r="E543" s="4">
        <v>1084</v>
      </c>
    </row>
    <row r="544" spans="1:5" x14ac:dyDescent="0.3">
      <c r="A544" s="2" t="s">
        <v>25</v>
      </c>
      <c r="B544" s="3" t="s">
        <v>37</v>
      </c>
      <c r="C544" s="3" t="s">
        <v>2</v>
      </c>
      <c r="D544" s="4">
        <v>61160</v>
      </c>
      <c r="E544" s="4">
        <v>27772</v>
      </c>
    </row>
    <row r="545" spans="1:5" x14ac:dyDescent="0.3">
      <c r="A545" s="2" t="s">
        <v>25</v>
      </c>
      <c r="B545" s="3" t="s">
        <v>37</v>
      </c>
      <c r="C545" s="3" t="s">
        <v>3</v>
      </c>
      <c r="D545" s="4">
        <v>69140</v>
      </c>
      <c r="E545" s="4">
        <v>30506</v>
      </c>
    </row>
    <row r="546" spans="1:5" x14ac:dyDescent="0.3">
      <c r="A546" s="2" t="s">
        <v>25</v>
      </c>
      <c r="B546" s="3" t="s">
        <v>37</v>
      </c>
      <c r="C546" s="3" t="s">
        <v>4</v>
      </c>
      <c r="D546" s="4">
        <v>80174</v>
      </c>
      <c r="E546" s="4">
        <v>36536</v>
      </c>
    </row>
    <row r="547" spans="1:5" x14ac:dyDescent="0.3">
      <c r="A547" s="2" t="s">
        <v>25</v>
      </c>
      <c r="B547" s="3" t="s">
        <v>37</v>
      </c>
      <c r="C547" s="3" t="s">
        <v>5</v>
      </c>
      <c r="D547" s="4">
        <v>82213</v>
      </c>
      <c r="E547" s="4">
        <v>31800</v>
      </c>
    </row>
    <row r="548" spans="1:5" x14ac:dyDescent="0.3">
      <c r="A548" s="2" t="s">
        <v>25</v>
      </c>
      <c r="B548" s="3" t="s">
        <v>37</v>
      </c>
      <c r="C548" s="3" t="s">
        <v>6</v>
      </c>
      <c r="D548" s="4">
        <v>81634</v>
      </c>
      <c r="E548" s="4">
        <v>34788</v>
      </c>
    </row>
    <row r="549" spans="1:5" x14ac:dyDescent="0.3">
      <c r="A549" s="2" t="s">
        <v>25</v>
      </c>
      <c r="B549" s="3" t="s">
        <v>37</v>
      </c>
      <c r="C549" s="3" t="s">
        <v>7</v>
      </c>
      <c r="D549" s="4">
        <v>86856</v>
      </c>
      <c r="E549" s="4">
        <v>36054</v>
      </c>
    </row>
    <row r="550" spans="1:5" x14ac:dyDescent="0.3">
      <c r="A550" s="2" t="s">
        <v>25</v>
      </c>
      <c r="B550" s="3" t="s">
        <v>37</v>
      </c>
      <c r="C550" s="3" t="s">
        <v>8</v>
      </c>
      <c r="D550" s="4">
        <v>82929</v>
      </c>
      <c r="E550" s="4">
        <v>33106</v>
      </c>
    </row>
    <row r="551" spans="1:5" x14ac:dyDescent="0.3">
      <c r="A551" s="2" t="s">
        <v>25</v>
      </c>
      <c r="B551" s="3" t="s">
        <v>37</v>
      </c>
      <c r="C551" s="3" t="s">
        <v>9</v>
      </c>
      <c r="D551" s="4">
        <v>83113</v>
      </c>
      <c r="E551" s="4">
        <v>39014</v>
      </c>
    </row>
    <row r="552" spans="1:5" x14ac:dyDescent="0.3">
      <c r="A552" s="2" t="s">
        <v>25</v>
      </c>
      <c r="B552" s="3" t="s">
        <v>37</v>
      </c>
      <c r="C552" s="3" t="s">
        <v>10</v>
      </c>
      <c r="D552" s="4">
        <v>90515</v>
      </c>
      <c r="E552" s="4">
        <v>31860</v>
      </c>
    </row>
    <row r="553" spans="1:5" x14ac:dyDescent="0.3">
      <c r="A553" s="2" t="s">
        <v>25</v>
      </c>
      <c r="B553" s="3" t="s">
        <v>37</v>
      </c>
      <c r="C553" s="3" t="s">
        <v>11</v>
      </c>
      <c r="D553" s="4">
        <v>85215</v>
      </c>
      <c r="E553" s="4">
        <v>30488</v>
      </c>
    </row>
    <row r="554" spans="1:5" x14ac:dyDescent="0.3">
      <c r="A554" s="2" t="s">
        <v>25</v>
      </c>
      <c r="B554" s="3" t="s">
        <v>37</v>
      </c>
      <c r="C554" s="3" t="s">
        <v>12</v>
      </c>
      <c r="D554" s="4">
        <v>79683</v>
      </c>
      <c r="E554" s="4">
        <v>31878</v>
      </c>
    </row>
    <row r="555" spans="1:5" x14ac:dyDescent="0.3">
      <c r="A555" s="2" t="s">
        <v>25</v>
      </c>
      <c r="B555" s="3" t="s">
        <v>37</v>
      </c>
      <c r="C555" s="3" t="s">
        <v>13</v>
      </c>
      <c r="D555" s="4">
        <v>89664</v>
      </c>
      <c r="E555" s="4">
        <v>52310</v>
      </c>
    </row>
    <row r="556" spans="1:5" x14ac:dyDescent="0.3">
      <c r="A556" s="2" t="s">
        <v>25</v>
      </c>
      <c r="B556" s="3" t="s">
        <v>38</v>
      </c>
      <c r="C556" s="3" t="s">
        <v>2</v>
      </c>
      <c r="D556" s="4">
        <v>86175</v>
      </c>
      <c r="E556" s="4">
        <v>26091</v>
      </c>
    </row>
    <row r="557" spans="1:5" x14ac:dyDescent="0.3">
      <c r="A557" s="2" t="s">
        <v>25</v>
      </c>
      <c r="B557" s="3" t="s">
        <v>38</v>
      </c>
      <c r="C557" s="3" t="s">
        <v>3</v>
      </c>
      <c r="D557" s="4">
        <v>96459</v>
      </c>
      <c r="E557" s="4">
        <v>27477</v>
      </c>
    </row>
    <row r="558" spans="1:5" x14ac:dyDescent="0.3">
      <c r="A558" s="2" t="s">
        <v>25</v>
      </c>
      <c r="B558" s="3" t="s">
        <v>38</v>
      </c>
      <c r="C558" s="3" t="s">
        <v>4</v>
      </c>
      <c r="D558" s="4">
        <v>103389</v>
      </c>
      <c r="E558" s="4">
        <v>35599</v>
      </c>
    </row>
    <row r="559" spans="1:5" x14ac:dyDescent="0.3">
      <c r="A559" s="2" t="s">
        <v>25</v>
      </c>
      <c r="B559" s="3" t="s">
        <v>38</v>
      </c>
      <c r="C559" s="3" t="s">
        <v>5</v>
      </c>
      <c r="D559" s="4">
        <v>99915</v>
      </c>
      <c r="E559" s="4">
        <v>31165</v>
      </c>
    </row>
    <row r="560" spans="1:5" x14ac:dyDescent="0.3">
      <c r="A560" s="2" t="s">
        <v>25</v>
      </c>
      <c r="B560" s="3" t="s">
        <v>38</v>
      </c>
      <c r="C560" s="3" t="s">
        <v>6</v>
      </c>
      <c r="D560" s="4">
        <v>90728</v>
      </c>
      <c r="E560" s="4">
        <v>31787</v>
      </c>
    </row>
    <row r="561" spans="1:5" x14ac:dyDescent="0.3">
      <c r="A561" s="2" t="s">
        <v>25</v>
      </c>
      <c r="B561" s="3" t="s">
        <v>38</v>
      </c>
      <c r="C561" s="3" t="s">
        <v>7</v>
      </c>
      <c r="D561" s="4">
        <v>88178</v>
      </c>
      <c r="E561" s="4">
        <v>27427</v>
      </c>
    </row>
    <row r="562" spans="1:5" x14ac:dyDescent="0.3">
      <c r="A562" s="2" t="s">
        <v>25</v>
      </c>
      <c r="B562" s="3" t="s">
        <v>38</v>
      </c>
      <c r="C562" s="3" t="s">
        <v>8</v>
      </c>
      <c r="D562" s="4">
        <v>91641</v>
      </c>
      <c r="E562" s="4">
        <v>34628</v>
      </c>
    </row>
    <row r="563" spans="1:5" x14ac:dyDescent="0.3">
      <c r="A563" s="2" t="s">
        <v>25</v>
      </c>
      <c r="B563" s="3" t="s">
        <v>38</v>
      </c>
      <c r="C563" s="3" t="s">
        <v>9</v>
      </c>
      <c r="D563" s="4">
        <v>92457</v>
      </c>
      <c r="E563" s="4">
        <v>45495</v>
      </c>
    </row>
    <row r="564" spans="1:5" x14ac:dyDescent="0.3">
      <c r="A564" s="2" t="s">
        <v>25</v>
      </c>
      <c r="B564" s="3" t="s">
        <v>38</v>
      </c>
      <c r="C564" s="3" t="s">
        <v>10</v>
      </c>
      <c r="D564" s="4">
        <v>93335</v>
      </c>
      <c r="E564" s="4">
        <v>28723</v>
      </c>
    </row>
    <row r="565" spans="1:5" x14ac:dyDescent="0.3">
      <c r="A565" s="2" t="s">
        <v>25</v>
      </c>
      <c r="B565" s="3" t="s">
        <v>38</v>
      </c>
      <c r="C565" s="3" t="s">
        <v>11</v>
      </c>
      <c r="D565" s="4">
        <v>102160</v>
      </c>
      <c r="E565" s="4">
        <v>28785</v>
      </c>
    </row>
    <row r="566" spans="1:5" x14ac:dyDescent="0.3">
      <c r="A566" s="2" t="s">
        <v>25</v>
      </c>
      <c r="B566" s="3" t="s">
        <v>38</v>
      </c>
      <c r="C566" s="3" t="s">
        <v>12</v>
      </c>
      <c r="D566" s="4">
        <v>99100</v>
      </c>
      <c r="E566" s="4">
        <v>32637</v>
      </c>
    </row>
    <row r="567" spans="1:5" x14ac:dyDescent="0.3">
      <c r="A567" s="2" t="s">
        <v>25</v>
      </c>
      <c r="B567" s="3" t="s">
        <v>38</v>
      </c>
      <c r="C567" s="3" t="s">
        <v>13</v>
      </c>
      <c r="D567" s="4">
        <v>98114</v>
      </c>
      <c r="E567" s="4">
        <v>55661</v>
      </c>
    </row>
    <row r="568" spans="1:5" x14ac:dyDescent="0.3">
      <c r="A568" s="2" t="s">
        <v>25</v>
      </c>
      <c r="B568" s="3" t="s">
        <v>36</v>
      </c>
      <c r="C568" s="3" t="s">
        <v>2</v>
      </c>
      <c r="D568" s="4">
        <v>28185</v>
      </c>
      <c r="E568" s="4">
        <v>13779</v>
      </c>
    </row>
    <row r="569" spans="1:5" x14ac:dyDescent="0.3">
      <c r="A569" s="2" t="s">
        <v>25</v>
      </c>
      <c r="B569" s="3" t="s">
        <v>36</v>
      </c>
      <c r="C569" s="3" t="s">
        <v>3</v>
      </c>
      <c r="D569" s="4">
        <v>26157</v>
      </c>
      <c r="E569" s="4">
        <v>11197</v>
      </c>
    </row>
    <row r="570" spans="1:5" x14ac:dyDescent="0.3">
      <c r="A570" s="2" t="s">
        <v>25</v>
      </c>
      <c r="B570" s="3" t="s">
        <v>36</v>
      </c>
      <c r="C570" s="3" t="s">
        <v>4</v>
      </c>
      <c r="D570" s="4">
        <v>34173</v>
      </c>
      <c r="E570" s="4">
        <v>13499</v>
      </c>
    </row>
    <row r="571" spans="1:5" x14ac:dyDescent="0.3">
      <c r="A571" s="2" t="s">
        <v>25</v>
      </c>
      <c r="B571" s="3" t="s">
        <v>36</v>
      </c>
      <c r="C571" s="3" t="s">
        <v>5</v>
      </c>
      <c r="D571" s="4">
        <v>41992</v>
      </c>
      <c r="E571" s="4">
        <v>13177</v>
      </c>
    </row>
    <row r="572" spans="1:5" x14ac:dyDescent="0.3">
      <c r="A572" s="2" t="s">
        <v>25</v>
      </c>
      <c r="B572" s="3" t="s">
        <v>36</v>
      </c>
      <c r="C572" s="3" t="s">
        <v>6</v>
      </c>
      <c r="D572" s="4">
        <v>42259</v>
      </c>
      <c r="E572" s="4">
        <v>12814</v>
      </c>
    </row>
    <row r="573" spans="1:5" x14ac:dyDescent="0.3">
      <c r="A573" s="2" t="s">
        <v>25</v>
      </c>
      <c r="B573" s="3" t="s">
        <v>36</v>
      </c>
      <c r="C573" s="3" t="s">
        <v>7</v>
      </c>
      <c r="D573" s="4">
        <v>40056</v>
      </c>
      <c r="E573" s="4">
        <v>12506</v>
      </c>
    </row>
    <row r="574" spans="1:5" x14ac:dyDescent="0.3">
      <c r="A574" s="2" t="s">
        <v>25</v>
      </c>
      <c r="B574" s="3" t="s">
        <v>36</v>
      </c>
      <c r="C574" s="3" t="s">
        <v>8</v>
      </c>
      <c r="D574" s="4">
        <v>36814</v>
      </c>
      <c r="E574" s="4">
        <v>13084</v>
      </c>
    </row>
    <row r="575" spans="1:5" x14ac:dyDescent="0.3">
      <c r="A575" s="2" t="s">
        <v>25</v>
      </c>
      <c r="B575" s="3" t="s">
        <v>36</v>
      </c>
      <c r="C575" s="3" t="s">
        <v>9</v>
      </c>
      <c r="D575" s="4">
        <v>31564</v>
      </c>
      <c r="E575" s="4">
        <v>14038</v>
      </c>
    </row>
    <row r="576" spans="1:5" x14ac:dyDescent="0.3">
      <c r="A576" s="2" t="s">
        <v>25</v>
      </c>
      <c r="B576" s="3" t="s">
        <v>36</v>
      </c>
      <c r="C576" s="3" t="s">
        <v>10</v>
      </c>
      <c r="D576" s="4">
        <v>29924</v>
      </c>
      <c r="E576" s="4">
        <v>10601</v>
      </c>
    </row>
    <row r="577" spans="1:5" x14ac:dyDescent="0.3">
      <c r="A577" s="2" t="s">
        <v>25</v>
      </c>
      <c r="B577" s="3" t="s">
        <v>36</v>
      </c>
      <c r="C577" s="3" t="s">
        <v>11</v>
      </c>
      <c r="D577" s="4">
        <v>36778</v>
      </c>
      <c r="E577" s="4">
        <v>13765</v>
      </c>
    </row>
    <row r="578" spans="1:5" x14ac:dyDescent="0.3">
      <c r="A578" s="2" t="s">
        <v>25</v>
      </c>
      <c r="B578" s="3" t="s">
        <v>36</v>
      </c>
      <c r="C578" s="3" t="s">
        <v>12</v>
      </c>
      <c r="D578" s="4">
        <v>42396</v>
      </c>
      <c r="E578" s="4">
        <v>15750</v>
      </c>
    </row>
    <row r="579" spans="1:5" x14ac:dyDescent="0.3">
      <c r="A579" s="2" t="s">
        <v>25</v>
      </c>
      <c r="B579" s="3" t="s">
        <v>36</v>
      </c>
      <c r="C579" s="3" t="s">
        <v>13</v>
      </c>
      <c r="D579" s="4">
        <v>42024</v>
      </c>
      <c r="E579" s="4">
        <v>26983</v>
      </c>
    </row>
    <row r="580" spans="1:5" x14ac:dyDescent="0.3">
      <c r="A580" s="2" t="s">
        <v>25</v>
      </c>
      <c r="B580" s="3" t="s">
        <v>35</v>
      </c>
      <c r="C580" s="3" t="s">
        <v>2</v>
      </c>
      <c r="D580" s="4">
        <v>82693</v>
      </c>
      <c r="E580" s="4">
        <v>34780</v>
      </c>
    </row>
    <row r="581" spans="1:5" x14ac:dyDescent="0.3">
      <c r="A581" s="2" t="s">
        <v>25</v>
      </c>
      <c r="B581" s="3" t="s">
        <v>35</v>
      </c>
      <c r="C581" s="3" t="s">
        <v>3</v>
      </c>
      <c r="D581" s="4">
        <v>72760</v>
      </c>
      <c r="E581" s="4">
        <v>28787</v>
      </c>
    </row>
    <row r="582" spans="1:5" x14ac:dyDescent="0.3">
      <c r="A582" s="2" t="s">
        <v>25</v>
      </c>
      <c r="B582" s="3" t="s">
        <v>35</v>
      </c>
      <c r="C582" s="3" t="s">
        <v>4</v>
      </c>
      <c r="D582" s="4">
        <v>98928</v>
      </c>
      <c r="E582" s="4">
        <v>40244</v>
      </c>
    </row>
    <row r="583" spans="1:5" x14ac:dyDescent="0.3">
      <c r="A583" s="2" t="s">
        <v>25</v>
      </c>
      <c r="B583" s="3" t="s">
        <v>35</v>
      </c>
      <c r="C583" s="3" t="s">
        <v>5</v>
      </c>
      <c r="D583" s="4">
        <v>143666</v>
      </c>
      <c r="E583" s="4">
        <v>41093</v>
      </c>
    </row>
    <row r="584" spans="1:5" x14ac:dyDescent="0.3">
      <c r="A584" s="2" t="s">
        <v>25</v>
      </c>
      <c r="B584" s="3" t="s">
        <v>35</v>
      </c>
      <c r="C584" s="3" t="s">
        <v>6</v>
      </c>
      <c r="D584" s="4">
        <v>134497</v>
      </c>
      <c r="E584" s="4">
        <v>40731</v>
      </c>
    </row>
    <row r="585" spans="1:5" x14ac:dyDescent="0.3">
      <c r="A585" s="2" t="s">
        <v>25</v>
      </c>
      <c r="B585" s="3" t="s">
        <v>35</v>
      </c>
      <c r="C585" s="3" t="s">
        <v>7</v>
      </c>
      <c r="D585" s="4">
        <v>117694</v>
      </c>
      <c r="E585" s="4">
        <v>35577</v>
      </c>
    </row>
    <row r="586" spans="1:5" x14ac:dyDescent="0.3">
      <c r="A586" s="2" t="s">
        <v>25</v>
      </c>
      <c r="B586" s="3" t="s">
        <v>35</v>
      </c>
      <c r="C586" s="3" t="s">
        <v>8</v>
      </c>
      <c r="D586" s="4">
        <v>110248</v>
      </c>
      <c r="E586" s="4">
        <v>38044</v>
      </c>
    </row>
    <row r="587" spans="1:5" x14ac:dyDescent="0.3">
      <c r="A587" s="2" t="s">
        <v>25</v>
      </c>
      <c r="B587" s="3" t="s">
        <v>35</v>
      </c>
      <c r="C587" s="3" t="s">
        <v>9</v>
      </c>
      <c r="D587" s="4">
        <v>107357</v>
      </c>
      <c r="E587" s="4">
        <v>41711</v>
      </c>
    </row>
    <row r="588" spans="1:5" x14ac:dyDescent="0.3">
      <c r="A588" s="2" t="s">
        <v>25</v>
      </c>
      <c r="B588" s="3" t="s">
        <v>35</v>
      </c>
      <c r="C588" s="3" t="s">
        <v>10</v>
      </c>
      <c r="D588" s="4">
        <v>140907</v>
      </c>
      <c r="E588" s="4">
        <v>38779</v>
      </c>
    </row>
    <row r="589" spans="1:5" x14ac:dyDescent="0.3">
      <c r="A589" s="2" t="s">
        <v>25</v>
      </c>
      <c r="B589" s="3" t="s">
        <v>35</v>
      </c>
      <c r="C589" s="3" t="s">
        <v>11</v>
      </c>
      <c r="D589" s="4">
        <v>148380</v>
      </c>
      <c r="E589" s="4">
        <v>47010</v>
      </c>
    </row>
    <row r="590" spans="1:5" x14ac:dyDescent="0.3">
      <c r="A590" s="2" t="s">
        <v>25</v>
      </c>
      <c r="B590" s="3" t="s">
        <v>35</v>
      </c>
      <c r="C590" s="3" t="s">
        <v>12</v>
      </c>
      <c r="D590" s="4">
        <v>142601</v>
      </c>
      <c r="E590" s="4">
        <v>59063</v>
      </c>
    </row>
    <row r="591" spans="1:5" x14ac:dyDescent="0.3">
      <c r="A591" s="2" t="s">
        <v>25</v>
      </c>
      <c r="B591" s="3" t="s">
        <v>35</v>
      </c>
      <c r="C591" s="3" t="s">
        <v>13</v>
      </c>
      <c r="D591" s="4">
        <v>143491</v>
      </c>
      <c r="E591" s="4">
        <v>126601</v>
      </c>
    </row>
    <row r="592" spans="1:5" x14ac:dyDescent="0.3">
      <c r="A592" s="2" t="s">
        <v>25</v>
      </c>
      <c r="B592" s="3" t="s">
        <v>34</v>
      </c>
      <c r="C592" s="3" t="s">
        <v>2</v>
      </c>
      <c r="D592" s="4">
        <v>2243</v>
      </c>
      <c r="E592" s="4">
        <v>339</v>
      </c>
    </row>
    <row r="593" spans="1:5" x14ac:dyDescent="0.3">
      <c r="A593" s="2" t="s">
        <v>25</v>
      </c>
      <c r="B593" s="3" t="s">
        <v>34</v>
      </c>
      <c r="C593" s="3" t="s">
        <v>3</v>
      </c>
      <c r="D593" s="4">
        <v>2186</v>
      </c>
      <c r="E593" s="4">
        <v>286</v>
      </c>
    </row>
    <row r="594" spans="1:5" x14ac:dyDescent="0.3">
      <c r="A594" s="2" t="s">
        <v>25</v>
      </c>
      <c r="B594" s="3" t="s">
        <v>34</v>
      </c>
      <c r="C594" s="3" t="s">
        <v>4</v>
      </c>
      <c r="D594" s="4">
        <v>2316</v>
      </c>
      <c r="E594" s="4">
        <v>263</v>
      </c>
    </row>
    <row r="595" spans="1:5" x14ac:dyDescent="0.3">
      <c r="A595" s="2" t="s">
        <v>25</v>
      </c>
      <c r="B595" s="3" t="s">
        <v>34</v>
      </c>
      <c r="C595" s="3" t="s">
        <v>5</v>
      </c>
      <c r="D595" s="4">
        <v>2269</v>
      </c>
      <c r="E595" s="4">
        <v>264</v>
      </c>
    </row>
    <row r="596" spans="1:5" x14ac:dyDescent="0.3">
      <c r="A596" s="2" t="s">
        <v>25</v>
      </c>
      <c r="B596" s="3" t="s">
        <v>34</v>
      </c>
      <c r="C596" s="3" t="s">
        <v>6</v>
      </c>
      <c r="D596" s="4">
        <v>2080</v>
      </c>
      <c r="E596" s="4">
        <v>664</v>
      </c>
    </row>
    <row r="597" spans="1:5" x14ac:dyDescent="0.3">
      <c r="A597" s="2" t="s">
        <v>25</v>
      </c>
      <c r="B597" s="3" t="s">
        <v>34</v>
      </c>
      <c r="C597" s="3" t="s">
        <v>7</v>
      </c>
      <c r="D597" s="4">
        <v>9047</v>
      </c>
      <c r="E597" s="4">
        <v>1432</v>
      </c>
    </row>
    <row r="598" spans="1:5" x14ac:dyDescent="0.3">
      <c r="A598" s="2" t="s">
        <v>25</v>
      </c>
      <c r="B598" s="3" t="s">
        <v>34</v>
      </c>
      <c r="C598" s="3" t="s">
        <v>8</v>
      </c>
      <c r="D598" s="4">
        <v>13225</v>
      </c>
      <c r="E598" s="4">
        <v>3476</v>
      </c>
    </row>
    <row r="599" spans="1:5" x14ac:dyDescent="0.3">
      <c r="A599" s="2" t="s">
        <v>25</v>
      </c>
      <c r="B599" s="3" t="s">
        <v>34</v>
      </c>
      <c r="C599" s="3" t="s">
        <v>9</v>
      </c>
      <c r="D599" s="4">
        <v>11366</v>
      </c>
      <c r="E599" s="4">
        <v>8254</v>
      </c>
    </row>
    <row r="600" spans="1:5" x14ac:dyDescent="0.3">
      <c r="A600" s="2" t="s">
        <v>25</v>
      </c>
      <c r="B600" s="3" t="s">
        <v>34</v>
      </c>
      <c r="C600" s="3" t="s">
        <v>10</v>
      </c>
      <c r="D600" s="4">
        <v>3972</v>
      </c>
      <c r="E600" s="4">
        <v>1317</v>
      </c>
    </row>
    <row r="601" spans="1:5" x14ac:dyDescent="0.3">
      <c r="A601" s="2" t="s">
        <v>25</v>
      </c>
      <c r="B601" s="3" t="s">
        <v>34</v>
      </c>
      <c r="C601" s="3" t="s">
        <v>11</v>
      </c>
      <c r="D601" s="4">
        <v>4261</v>
      </c>
      <c r="E601" s="4">
        <v>942</v>
      </c>
    </row>
    <row r="602" spans="1:5" x14ac:dyDescent="0.3">
      <c r="A602" s="2" t="s">
        <v>25</v>
      </c>
      <c r="B602" s="3" t="s">
        <v>34</v>
      </c>
      <c r="C602" s="3" t="s">
        <v>12</v>
      </c>
      <c r="D602" s="4">
        <v>3915</v>
      </c>
      <c r="E602" s="4">
        <v>1221</v>
      </c>
    </row>
    <row r="603" spans="1:5" x14ac:dyDescent="0.3">
      <c r="A603" s="2" t="s">
        <v>25</v>
      </c>
      <c r="B603" s="3" t="s">
        <v>34</v>
      </c>
      <c r="C603" s="3" t="s">
        <v>13</v>
      </c>
      <c r="D603" s="4">
        <v>2773</v>
      </c>
      <c r="E603" s="4">
        <v>880</v>
      </c>
    </row>
    <row r="604" spans="1:5" x14ac:dyDescent="0.3">
      <c r="A604" s="2" t="s">
        <v>26</v>
      </c>
      <c r="B604" s="3" t="s">
        <v>37</v>
      </c>
      <c r="C604" s="3" t="s">
        <v>2</v>
      </c>
      <c r="D604" s="4">
        <v>47562</v>
      </c>
      <c r="E604" s="4">
        <v>20132</v>
      </c>
    </row>
    <row r="605" spans="1:5" x14ac:dyDescent="0.3">
      <c r="A605" s="2" t="s">
        <v>26</v>
      </c>
      <c r="B605" s="3" t="s">
        <v>37</v>
      </c>
      <c r="C605" s="3" t="s">
        <v>3</v>
      </c>
      <c r="D605" s="4">
        <v>53423</v>
      </c>
      <c r="E605" s="4">
        <v>20270</v>
      </c>
    </row>
    <row r="606" spans="1:5" x14ac:dyDescent="0.3">
      <c r="A606" s="2" t="s">
        <v>26</v>
      </c>
      <c r="B606" s="3" t="s">
        <v>37</v>
      </c>
      <c r="C606" s="3" t="s">
        <v>4</v>
      </c>
      <c r="D606" s="4">
        <v>61531</v>
      </c>
      <c r="E606" s="4">
        <v>25048</v>
      </c>
    </row>
    <row r="607" spans="1:5" x14ac:dyDescent="0.3">
      <c r="A607" s="2" t="s">
        <v>26</v>
      </c>
      <c r="B607" s="3" t="s">
        <v>37</v>
      </c>
      <c r="C607" s="3" t="s">
        <v>5</v>
      </c>
      <c r="D607" s="4">
        <v>59611</v>
      </c>
      <c r="E607" s="4">
        <v>21068</v>
      </c>
    </row>
    <row r="608" spans="1:5" x14ac:dyDescent="0.3">
      <c r="A608" s="2" t="s">
        <v>26</v>
      </c>
      <c r="B608" s="3" t="s">
        <v>37</v>
      </c>
      <c r="C608" s="3" t="s">
        <v>6</v>
      </c>
      <c r="D608" s="4">
        <v>59043</v>
      </c>
      <c r="E608" s="4">
        <v>23735</v>
      </c>
    </row>
    <row r="609" spans="1:5" x14ac:dyDescent="0.3">
      <c r="A609" s="2" t="s">
        <v>26</v>
      </c>
      <c r="B609" s="3" t="s">
        <v>37</v>
      </c>
      <c r="C609" s="3" t="s">
        <v>7</v>
      </c>
      <c r="D609" s="4">
        <v>64319</v>
      </c>
      <c r="E609" s="4">
        <v>24767</v>
      </c>
    </row>
    <row r="610" spans="1:5" x14ac:dyDescent="0.3">
      <c r="A610" s="2" t="s">
        <v>26</v>
      </c>
      <c r="B610" s="3" t="s">
        <v>37</v>
      </c>
      <c r="C610" s="3" t="s">
        <v>8</v>
      </c>
      <c r="D610" s="4">
        <v>60576</v>
      </c>
      <c r="E610" s="4">
        <v>23928</v>
      </c>
    </row>
    <row r="611" spans="1:5" x14ac:dyDescent="0.3">
      <c r="A611" s="2" t="s">
        <v>26</v>
      </c>
      <c r="B611" s="3" t="s">
        <v>37</v>
      </c>
      <c r="C611" s="3" t="s">
        <v>9</v>
      </c>
      <c r="D611" s="4">
        <v>62311</v>
      </c>
      <c r="E611" s="4">
        <v>27666</v>
      </c>
    </row>
    <row r="612" spans="1:5" x14ac:dyDescent="0.3">
      <c r="A612" s="2" t="s">
        <v>26</v>
      </c>
      <c r="B612" s="3" t="s">
        <v>37</v>
      </c>
      <c r="C612" s="3" t="s">
        <v>10</v>
      </c>
      <c r="D612" s="4">
        <v>69306</v>
      </c>
      <c r="E612" s="4">
        <v>22996</v>
      </c>
    </row>
    <row r="613" spans="1:5" x14ac:dyDescent="0.3">
      <c r="A613" s="2" t="s">
        <v>26</v>
      </c>
      <c r="B613" s="3" t="s">
        <v>37</v>
      </c>
      <c r="C613" s="3" t="s">
        <v>11</v>
      </c>
      <c r="D613" s="4">
        <v>77371</v>
      </c>
      <c r="E613" s="4">
        <v>22294</v>
      </c>
    </row>
    <row r="614" spans="1:5" x14ac:dyDescent="0.3">
      <c r="A614" s="2" t="s">
        <v>26</v>
      </c>
      <c r="B614" s="3" t="s">
        <v>37</v>
      </c>
      <c r="C614" s="3" t="s">
        <v>12</v>
      </c>
      <c r="D614" s="4">
        <v>74806</v>
      </c>
      <c r="E614" s="4">
        <v>23498</v>
      </c>
    </row>
    <row r="615" spans="1:5" x14ac:dyDescent="0.3">
      <c r="A615" s="2" t="s">
        <v>26</v>
      </c>
      <c r="B615" s="3" t="s">
        <v>37</v>
      </c>
      <c r="C615" s="3" t="s">
        <v>13</v>
      </c>
      <c r="D615" s="4">
        <v>76520</v>
      </c>
      <c r="E615" s="4">
        <v>39605</v>
      </c>
    </row>
    <row r="616" spans="1:5" x14ac:dyDescent="0.3">
      <c r="A616" s="2" t="s">
        <v>26</v>
      </c>
      <c r="B616" s="3" t="s">
        <v>38</v>
      </c>
      <c r="C616" s="3" t="s">
        <v>2</v>
      </c>
      <c r="D616" s="4">
        <v>68946</v>
      </c>
      <c r="E616" s="4">
        <v>19101</v>
      </c>
    </row>
    <row r="617" spans="1:5" x14ac:dyDescent="0.3">
      <c r="A617" s="2" t="s">
        <v>26</v>
      </c>
      <c r="B617" s="3" t="s">
        <v>38</v>
      </c>
      <c r="C617" s="3" t="s">
        <v>3</v>
      </c>
      <c r="D617" s="4">
        <v>74797</v>
      </c>
      <c r="E617" s="4">
        <v>19073</v>
      </c>
    </row>
    <row r="618" spans="1:5" x14ac:dyDescent="0.3">
      <c r="A618" s="2" t="s">
        <v>26</v>
      </c>
      <c r="B618" s="3" t="s">
        <v>38</v>
      </c>
      <c r="C618" s="3" t="s">
        <v>4</v>
      </c>
      <c r="D618" s="4">
        <v>79667</v>
      </c>
      <c r="E618" s="4">
        <v>25492</v>
      </c>
    </row>
    <row r="619" spans="1:5" x14ac:dyDescent="0.3">
      <c r="A619" s="2" t="s">
        <v>26</v>
      </c>
      <c r="B619" s="3" t="s">
        <v>38</v>
      </c>
      <c r="C619" s="3" t="s">
        <v>5</v>
      </c>
      <c r="D619" s="4">
        <v>78414</v>
      </c>
      <c r="E619" s="4">
        <v>21306</v>
      </c>
    </row>
    <row r="620" spans="1:5" x14ac:dyDescent="0.3">
      <c r="A620" s="2" t="s">
        <v>26</v>
      </c>
      <c r="B620" s="3" t="s">
        <v>38</v>
      </c>
      <c r="C620" s="3" t="s">
        <v>6</v>
      </c>
      <c r="D620" s="4">
        <v>74175</v>
      </c>
      <c r="E620" s="4">
        <v>22313</v>
      </c>
    </row>
    <row r="621" spans="1:5" x14ac:dyDescent="0.3">
      <c r="A621" s="2" t="s">
        <v>26</v>
      </c>
      <c r="B621" s="3" t="s">
        <v>38</v>
      </c>
      <c r="C621" s="3" t="s">
        <v>7</v>
      </c>
      <c r="D621" s="4">
        <v>71447</v>
      </c>
      <c r="E621" s="4">
        <v>19226</v>
      </c>
    </row>
    <row r="622" spans="1:5" x14ac:dyDescent="0.3">
      <c r="A622" s="2" t="s">
        <v>26</v>
      </c>
      <c r="B622" s="3" t="s">
        <v>38</v>
      </c>
      <c r="C622" s="3" t="s">
        <v>8</v>
      </c>
      <c r="D622" s="4">
        <v>73966</v>
      </c>
      <c r="E622" s="4">
        <v>24258</v>
      </c>
    </row>
    <row r="623" spans="1:5" x14ac:dyDescent="0.3">
      <c r="A623" s="2" t="s">
        <v>26</v>
      </c>
      <c r="B623" s="3" t="s">
        <v>38</v>
      </c>
      <c r="C623" s="3" t="s">
        <v>9</v>
      </c>
      <c r="D623" s="4">
        <v>77512</v>
      </c>
      <c r="E623" s="4">
        <v>30832</v>
      </c>
    </row>
    <row r="624" spans="1:5" x14ac:dyDescent="0.3">
      <c r="A624" s="2" t="s">
        <v>26</v>
      </c>
      <c r="B624" s="3" t="s">
        <v>38</v>
      </c>
      <c r="C624" s="3" t="s">
        <v>10</v>
      </c>
      <c r="D624" s="4">
        <v>73196</v>
      </c>
      <c r="E624" s="4">
        <v>19511</v>
      </c>
    </row>
    <row r="625" spans="1:5" x14ac:dyDescent="0.3">
      <c r="A625" s="2" t="s">
        <v>26</v>
      </c>
      <c r="B625" s="3" t="s">
        <v>38</v>
      </c>
      <c r="C625" s="3" t="s">
        <v>11</v>
      </c>
      <c r="D625" s="4">
        <v>84853</v>
      </c>
      <c r="E625" s="4">
        <v>19868</v>
      </c>
    </row>
    <row r="626" spans="1:5" x14ac:dyDescent="0.3">
      <c r="A626" s="2" t="s">
        <v>26</v>
      </c>
      <c r="B626" s="3" t="s">
        <v>38</v>
      </c>
      <c r="C626" s="3" t="s">
        <v>12</v>
      </c>
      <c r="D626" s="4">
        <v>85038</v>
      </c>
      <c r="E626" s="4">
        <v>23102</v>
      </c>
    </row>
    <row r="627" spans="1:5" x14ac:dyDescent="0.3">
      <c r="A627" s="2" t="s">
        <v>26</v>
      </c>
      <c r="B627" s="3" t="s">
        <v>38</v>
      </c>
      <c r="C627" s="3" t="s">
        <v>13</v>
      </c>
      <c r="D627" s="4">
        <v>77251</v>
      </c>
      <c r="E627" s="4">
        <v>39737</v>
      </c>
    </row>
    <row r="628" spans="1:5" x14ac:dyDescent="0.3">
      <c r="A628" s="2" t="s">
        <v>26</v>
      </c>
      <c r="B628" s="3" t="s">
        <v>36</v>
      </c>
      <c r="C628" s="3" t="s">
        <v>2</v>
      </c>
      <c r="D628" s="4">
        <v>22777</v>
      </c>
      <c r="E628" s="4">
        <v>9884</v>
      </c>
    </row>
    <row r="629" spans="1:5" x14ac:dyDescent="0.3">
      <c r="A629" s="2" t="s">
        <v>26</v>
      </c>
      <c r="B629" s="3" t="s">
        <v>36</v>
      </c>
      <c r="C629" s="3" t="s">
        <v>3</v>
      </c>
      <c r="D629" s="4">
        <v>23078</v>
      </c>
      <c r="E629" s="4">
        <v>8100</v>
      </c>
    </row>
    <row r="630" spans="1:5" x14ac:dyDescent="0.3">
      <c r="A630" s="2" t="s">
        <v>26</v>
      </c>
      <c r="B630" s="3" t="s">
        <v>36</v>
      </c>
      <c r="C630" s="3" t="s">
        <v>4</v>
      </c>
      <c r="D630" s="4">
        <v>30406</v>
      </c>
      <c r="E630" s="4">
        <v>10571</v>
      </c>
    </row>
    <row r="631" spans="1:5" x14ac:dyDescent="0.3">
      <c r="A631" s="2" t="s">
        <v>26</v>
      </c>
      <c r="B631" s="3" t="s">
        <v>36</v>
      </c>
      <c r="C631" s="3" t="s">
        <v>5</v>
      </c>
      <c r="D631" s="4">
        <v>34753</v>
      </c>
      <c r="E631" s="4">
        <v>11199</v>
      </c>
    </row>
    <row r="632" spans="1:5" x14ac:dyDescent="0.3">
      <c r="A632" s="2" t="s">
        <v>26</v>
      </c>
      <c r="B632" s="3" t="s">
        <v>36</v>
      </c>
      <c r="C632" s="3" t="s">
        <v>6</v>
      </c>
      <c r="D632" s="4">
        <v>35433</v>
      </c>
      <c r="E632" s="4">
        <v>12626</v>
      </c>
    </row>
    <row r="633" spans="1:5" x14ac:dyDescent="0.3">
      <c r="A633" s="2" t="s">
        <v>26</v>
      </c>
      <c r="B633" s="3" t="s">
        <v>36</v>
      </c>
      <c r="C633" s="3" t="s">
        <v>7</v>
      </c>
      <c r="D633" s="4">
        <v>32718</v>
      </c>
      <c r="E633" s="4">
        <v>11416</v>
      </c>
    </row>
    <row r="634" spans="1:5" x14ac:dyDescent="0.3">
      <c r="A634" s="2" t="s">
        <v>26</v>
      </c>
      <c r="B634" s="3" t="s">
        <v>36</v>
      </c>
      <c r="C634" s="3" t="s">
        <v>8</v>
      </c>
      <c r="D634" s="4">
        <v>30840</v>
      </c>
      <c r="E634" s="4">
        <v>12190</v>
      </c>
    </row>
    <row r="635" spans="1:5" x14ac:dyDescent="0.3">
      <c r="A635" s="2" t="s">
        <v>26</v>
      </c>
      <c r="B635" s="3" t="s">
        <v>36</v>
      </c>
      <c r="C635" s="3" t="s">
        <v>9</v>
      </c>
      <c r="D635" s="4">
        <v>29509</v>
      </c>
      <c r="E635" s="4">
        <v>13502</v>
      </c>
    </row>
    <row r="636" spans="1:5" x14ac:dyDescent="0.3">
      <c r="A636" s="2" t="s">
        <v>26</v>
      </c>
      <c r="B636" s="3" t="s">
        <v>36</v>
      </c>
      <c r="C636" s="3" t="s">
        <v>10</v>
      </c>
      <c r="D636" s="4">
        <v>28448</v>
      </c>
      <c r="E636" s="4">
        <v>9977</v>
      </c>
    </row>
    <row r="637" spans="1:5" x14ac:dyDescent="0.3">
      <c r="A637" s="2" t="s">
        <v>26</v>
      </c>
      <c r="B637" s="3" t="s">
        <v>36</v>
      </c>
      <c r="C637" s="3" t="s">
        <v>11</v>
      </c>
      <c r="D637" s="4">
        <v>35918</v>
      </c>
      <c r="E637" s="4">
        <v>12061</v>
      </c>
    </row>
    <row r="638" spans="1:5" x14ac:dyDescent="0.3">
      <c r="A638" s="2" t="s">
        <v>26</v>
      </c>
      <c r="B638" s="3" t="s">
        <v>36</v>
      </c>
      <c r="C638" s="3" t="s">
        <v>12</v>
      </c>
      <c r="D638" s="4">
        <v>43074</v>
      </c>
      <c r="E638" s="4">
        <v>13005</v>
      </c>
    </row>
    <row r="639" spans="1:5" x14ac:dyDescent="0.3">
      <c r="A639" s="2" t="s">
        <v>26</v>
      </c>
      <c r="B639" s="3" t="s">
        <v>36</v>
      </c>
      <c r="C639" s="3" t="s">
        <v>13</v>
      </c>
      <c r="D639" s="4">
        <v>38092</v>
      </c>
      <c r="E639" s="4">
        <v>23926</v>
      </c>
    </row>
    <row r="640" spans="1:5" x14ac:dyDescent="0.3">
      <c r="A640" s="2" t="s">
        <v>26</v>
      </c>
      <c r="B640" s="3" t="s">
        <v>35</v>
      </c>
      <c r="C640" s="3" t="s">
        <v>2</v>
      </c>
      <c r="D640" s="4">
        <v>65098</v>
      </c>
      <c r="E640" s="4">
        <v>33438</v>
      </c>
    </row>
    <row r="641" spans="1:5" x14ac:dyDescent="0.3">
      <c r="A641" s="2" t="s">
        <v>26</v>
      </c>
      <c r="B641" s="3" t="s">
        <v>35</v>
      </c>
      <c r="C641" s="3" t="s">
        <v>3</v>
      </c>
      <c r="D641" s="4">
        <v>63289</v>
      </c>
      <c r="E641" s="4">
        <v>27071</v>
      </c>
    </row>
    <row r="642" spans="1:5" x14ac:dyDescent="0.3">
      <c r="A642" s="2" t="s">
        <v>26</v>
      </c>
      <c r="B642" s="3" t="s">
        <v>35</v>
      </c>
      <c r="C642" s="3" t="s">
        <v>4</v>
      </c>
      <c r="D642" s="4">
        <v>85881</v>
      </c>
      <c r="E642" s="4">
        <v>38892</v>
      </c>
    </row>
    <row r="643" spans="1:5" x14ac:dyDescent="0.3">
      <c r="A643" s="2" t="s">
        <v>26</v>
      </c>
      <c r="B643" s="3" t="s">
        <v>35</v>
      </c>
      <c r="C643" s="3" t="s">
        <v>5</v>
      </c>
      <c r="D643" s="4">
        <v>123921</v>
      </c>
      <c r="E643" s="4">
        <v>39095</v>
      </c>
    </row>
    <row r="644" spans="1:5" x14ac:dyDescent="0.3">
      <c r="A644" s="2" t="s">
        <v>26</v>
      </c>
      <c r="B644" s="3" t="s">
        <v>35</v>
      </c>
      <c r="C644" s="3" t="s">
        <v>6</v>
      </c>
      <c r="D644" s="4">
        <v>120126</v>
      </c>
      <c r="E644" s="4">
        <v>39205</v>
      </c>
    </row>
    <row r="645" spans="1:5" x14ac:dyDescent="0.3">
      <c r="A645" s="2" t="s">
        <v>26</v>
      </c>
      <c r="B645" s="3" t="s">
        <v>35</v>
      </c>
      <c r="C645" s="3" t="s">
        <v>7</v>
      </c>
      <c r="D645" s="4">
        <v>106593</v>
      </c>
      <c r="E645" s="4">
        <v>35135</v>
      </c>
    </row>
    <row r="646" spans="1:5" x14ac:dyDescent="0.3">
      <c r="A646" s="2" t="s">
        <v>26</v>
      </c>
      <c r="B646" s="3" t="s">
        <v>35</v>
      </c>
      <c r="C646" s="3" t="s">
        <v>8</v>
      </c>
      <c r="D646" s="4">
        <v>99992</v>
      </c>
      <c r="E646" s="4">
        <v>36666</v>
      </c>
    </row>
    <row r="647" spans="1:5" x14ac:dyDescent="0.3">
      <c r="A647" s="2" t="s">
        <v>26</v>
      </c>
      <c r="B647" s="3" t="s">
        <v>35</v>
      </c>
      <c r="C647" s="3" t="s">
        <v>9</v>
      </c>
      <c r="D647" s="4">
        <v>95817</v>
      </c>
      <c r="E647" s="4">
        <v>41078</v>
      </c>
    </row>
    <row r="648" spans="1:5" x14ac:dyDescent="0.3">
      <c r="A648" s="2" t="s">
        <v>26</v>
      </c>
      <c r="B648" s="3" t="s">
        <v>35</v>
      </c>
      <c r="C648" s="3" t="s">
        <v>10</v>
      </c>
      <c r="D648" s="4">
        <v>126026</v>
      </c>
      <c r="E648" s="4">
        <v>38816</v>
      </c>
    </row>
    <row r="649" spans="1:5" x14ac:dyDescent="0.3">
      <c r="A649" s="2" t="s">
        <v>26</v>
      </c>
      <c r="B649" s="3" t="s">
        <v>35</v>
      </c>
      <c r="C649" s="3" t="s">
        <v>11</v>
      </c>
      <c r="D649" s="4">
        <v>136495</v>
      </c>
      <c r="E649" s="4">
        <v>43839</v>
      </c>
    </row>
    <row r="650" spans="1:5" x14ac:dyDescent="0.3">
      <c r="A650" s="2" t="s">
        <v>26</v>
      </c>
      <c r="B650" s="3" t="s">
        <v>35</v>
      </c>
      <c r="C650" s="3" t="s">
        <v>12</v>
      </c>
      <c r="D650" s="4">
        <v>136694</v>
      </c>
      <c r="E650" s="4">
        <v>56460</v>
      </c>
    </row>
    <row r="651" spans="1:5" x14ac:dyDescent="0.3">
      <c r="A651" s="2" t="s">
        <v>26</v>
      </c>
      <c r="B651" s="3" t="s">
        <v>35</v>
      </c>
      <c r="C651" s="3" t="s">
        <v>13</v>
      </c>
      <c r="D651" s="4">
        <v>131639</v>
      </c>
      <c r="E651" s="4">
        <v>124338</v>
      </c>
    </row>
    <row r="652" spans="1:5" x14ac:dyDescent="0.3">
      <c r="A652" s="2" t="s">
        <v>26</v>
      </c>
      <c r="B652" s="3" t="s">
        <v>34</v>
      </c>
      <c r="C652" s="3" t="s">
        <v>2</v>
      </c>
      <c r="D652" s="4">
        <v>1872</v>
      </c>
      <c r="E652" s="4">
        <v>323</v>
      </c>
    </row>
    <row r="653" spans="1:5" x14ac:dyDescent="0.3">
      <c r="A653" s="2" t="s">
        <v>26</v>
      </c>
      <c r="B653" s="3" t="s">
        <v>34</v>
      </c>
      <c r="C653" s="3" t="s">
        <v>3</v>
      </c>
      <c r="D653" s="4">
        <v>1609</v>
      </c>
      <c r="E653" s="4">
        <v>260</v>
      </c>
    </row>
    <row r="654" spans="1:5" x14ac:dyDescent="0.3">
      <c r="A654" s="2" t="s">
        <v>26</v>
      </c>
      <c r="B654" s="3" t="s">
        <v>34</v>
      </c>
      <c r="C654" s="3" t="s">
        <v>4</v>
      </c>
      <c r="D654" s="4">
        <v>1693</v>
      </c>
      <c r="E654" s="4">
        <v>268</v>
      </c>
    </row>
    <row r="655" spans="1:5" x14ac:dyDescent="0.3">
      <c r="A655" s="2" t="s">
        <v>26</v>
      </c>
      <c r="B655" s="3" t="s">
        <v>34</v>
      </c>
      <c r="C655" s="3" t="s">
        <v>5</v>
      </c>
      <c r="D655" s="4">
        <v>1639</v>
      </c>
      <c r="E655" s="4">
        <v>215</v>
      </c>
    </row>
    <row r="656" spans="1:5" x14ac:dyDescent="0.3">
      <c r="A656" s="2" t="s">
        <v>26</v>
      </c>
      <c r="B656" s="3" t="s">
        <v>34</v>
      </c>
      <c r="C656" s="3" t="s">
        <v>6</v>
      </c>
      <c r="D656" s="4">
        <v>1512</v>
      </c>
      <c r="E656" s="4">
        <v>404</v>
      </c>
    </row>
    <row r="657" spans="1:5" x14ac:dyDescent="0.3">
      <c r="A657" s="2" t="s">
        <v>26</v>
      </c>
      <c r="B657" s="3" t="s">
        <v>34</v>
      </c>
      <c r="C657" s="3" t="s">
        <v>7</v>
      </c>
      <c r="D657" s="4">
        <v>6354</v>
      </c>
      <c r="E657" s="4">
        <v>1108</v>
      </c>
    </row>
    <row r="658" spans="1:5" x14ac:dyDescent="0.3">
      <c r="A658" s="2" t="s">
        <v>26</v>
      </c>
      <c r="B658" s="3" t="s">
        <v>34</v>
      </c>
      <c r="C658" s="3" t="s">
        <v>8</v>
      </c>
      <c r="D658" s="4">
        <v>7951</v>
      </c>
      <c r="E658" s="4">
        <v>2559</v>
      </c>
    </row>
    <row r="659" spans="1:5" x14ac:dyDescent="0.3">
      <c r="A659" s="2" t="s">
        <v>26</v>
      </c>
      <c r="B659" s="3" t="s">
        <v>34</v>
      </c>
      <c r="C659" s="3" t="s">
        <v>9</v>
      </c>
      <c r="D659" s="4">
        <v>7199</v>
      </c>
      <c r="E659" s="4">
        <v>5268</v>
      </c>
    </row>
    <row r="660" spans="1:5" x14ac:dyDescent="0.3">
      <c r="A660" s="2" t="s">
        <v>26</v>
      </c>
      <c r="B660" s="3" t="s">
        <v>34</v>
      </c>
      <c r="C660" s="3" t="s">
        <v>10</v>
      </c>
      <c r="D660" s="4">
        <v>2561</v>
      </c>
      <c r="E660" s="4">
        <v>774</v>
      </c>
    </row>
    <row r="661" spans="1:5" x14ac:dyDescent="0.3">
      <c r="A661" s="2" t="s">
        <v>26</v>
      </c>
      <c r="B661" s="3" t="s">
        <v>34</v>
      </c>
      <c r="C661" s="3" t="s">
        <v>11</v>
      </c>
      <c r="D661" s="4">
        <v>3499</v>
      </c>
      <c r="E661" s="4">
        <v>874</v>
      </c>
    </row>
    <row r="662" spans="1:5" x14ac:dyDescent="0.3">
      <c r="A662" s="2" t="s">
        <v>26</v>
      </c>
      <c r="B662" s="3" t="s">
        <v>34</v>
      </c>
      <c r="C662" s="3" t="s">
        <v>12</v>
      </c>
      <c r="D662" s="4">
        <v>3269</v>
      </c>
      <c r="E662" s="4">
        <v>1253</v>
      </c>
    </row>
    <row r="663" spans="1:5" x14ac:dyDescent="0.3">
      <c r="A663" s="2" t="s">
        <v>26</v>
      </c>
      <c r="B663" s="3" t="s">
        <v>34</v>
      </c>
      <c r="C663" s="3" t="s">
        <v>13</v>
      </c>
      <c r="D663" s="4">
        <v>2062</v>
      </c>
      <c r="E663" s="4">
        <v>740</v>
      </c>
    </row>
    <row r="664" spans="1:5" x14ac:dyDescent="0.3">
      <c r="A664" s="2" t="s">
        <v>27</v>
      </c>
      <c r="B664" s="3" t="s">
        <v>37</v>
      </c>
      <c r="C664" s="3" t="s">
        <v>2</v>
      </c>
      <c r="D664" s="4">
        <v>131629</v>
      </c>
      <c r="E664" s="4">
        <v>77080</v>
      </c>
    </row>
    <row r="665" spans="1:5" x14ac:dyDescent="0.3">
      <c r="A665" s="2" t="s">
        <v>27</v>
      </c>
      <c r="B665" s="3" t="s">
        <v>37</v>
      </c>
      <c r="C665" s="3" t="s">
        <v>3</v>
      </c>
      <c r="D665" s="4">
        <v>141880</v>
      </c>
      <c r="E665" s="4">
        <v>85098</v>
      </c>
    </row>
    <row r="666" spans="1:5" x14ac:dyDescent="0.3">
      <c r="A666" s="2" t="s">
        <v>27</v>
      </c>
      <c r="B666" s="3" t="s">
        <v>37</v>
      </c>
      <c r="C666" s="3" t="s">
        <v>4</v>
      </c>
      <c r="D666" s="4">
        <v>176055</v>
      </c>
      <c r="E666" s="4">
        <v>106417</v>
      </c>
    </row>
    <row r="667" spans="1:5" x14ac:dyDescent="0.3">
      <c r="A667" s="2" t="s">
        <v>27</v>
      </c>
      <c r="B667" s="3" t="s">
        <v>37</v>
      </c>
      <c r="C667" s="3" t="s">
        <v>5</v>
      </c>
      <c r="D667" s="4">
        <v>177554</v>
      </c>
      <c r="E667" s="4">
        <v>90454</v>
      </c>
    </row>
    <row r="668" spans="1:5" x14ac:dyDescent="0.3">
      <c r="A668" s="2" t="s">
        <v>27</v>
      </c>
      <c r="B668" s="3" t="s">
        <v>37</v>
      </c>
      <c r="C668" s="3" t="s">
        <v>6</v>
      </c>
      <c r="D668" s="4">
        <v>162317</v>
      </c>
      <c r="E668" s="4">
        <v>99406</v>
      </c>
    </row>
    <row r="669" spans="1:5" x14ac:dyDescent="0.3">
      <c r="A669" s="2" t="s">
        <v>27</v>
      </c>
      <c r="B669" s="3" t="s">
        <v>37</v>
      </c>
      <c r="C669" s="3" t="s">
        <v>7</v>
      </c>
      <c r="D669" s="4">
        <v>182486</v>
      </c>
      <c r="E669" s="4">
        <v>112400</v>
      </c>
    </row>
    <row r="670" spans="1:5" x14ac:dyDescent="0.3">
      <c r="A670" s="2" t="s">
        <v>27</v>
      </c>
      <c r="B670" s="3" t="s">
        <v>37</v>
      </c>
      <c r="C670" s="3" t="s">
        <v>8</v>
      </c>
      <c r="D670" s="4">
        <v>174552</v>
      </c>
      <c r="E670" s="4">
        <v>98874</v>
      </c>
    </row>
    <row r="671" spans="1:5" x14ac:dyDescent="0.3">
      <c r="A671" s="2" t="s">
        <v>27</v>
      </c>
      <c r="B671" s="3" t="s">
        <v>37</v>
      </c>
      <c r="C671" s="3" t="s">
        <v>9</v>
      </c>
      <c r="D671" s="4">
        <v>179681</v>
      </c>
      <c r="E671" s="4">
        <v>118512</v>
      </c>
    </row>
    <row r="672" spans="1:5" x14ac:dyDescent="0.3">
      <c r="A672" s="2" t="s">
        <v>27</v>
      </c>
      <c r="B672" s="3" t="s">
        <v>37</v>
      </c>
      <c r="C672" s="3" t="s">
        <v>10</v>
      </c>
      <c r="D672" s="4">
        <v>194874</v>
      </c>
      <c r="E672" s="4">
        <v>98261</v>
      </c>
    </row>
    <row r="673" spans="1:5" x14ac:dyDescent="0.3">
      <c r="A673" s="2" t="s">
        <v>27</v>
      </c>
      <c r="B673" s="3" t="s">
        <v>37</v>
      </c>
      <c r="C673" s="3" t="s">
        <v>11</v>
      </c>
      <c r="D673" s="4">
        <v>167615</v>
      </c>
      <c r="E673" s="4">
        <v>93623</v>
      </c>
    </row>
    <row r="674" spans="1:5" x14ac:dyDescent="0.3">
      <c r="A674" s="2" t="s">
        <v>27</v>
      </c>
      <c r="B674" s="3" t="s">
        <v>37</v>
      </c>
      <c r="C674" s="3" t="s">
        <v>12</v>
      </c>
      <c r="D674" s="4">
        <v>155766</v>
      </c>
      <c r="E674" s="4">
        <v>97654</v>
      </c>
    </row>
    <row r="675" spans="1:5" x14ac:dyDescent="0.3">
      <c r="A675" s="2" t="s">
        <v>27</v>
      </c>
      <c r="B675" s="3" t="s">
        <v>37</v>
      </c>
      <c r="C675" s="3" t="s">
        <v>13</v>
      </c>
      <c r="D675" s="4">
        <v>191314</v>
      </c>
      <c r="E675" s="4">
        <v>143553</v>
      </c>
    </row>
    <row r="676" spans="1:5" x14ac:dyDescent="0.3">
      <c r="A676" s="2" t="s">
        <v>27</v>
      </c>
      <c r="B676" s="3" t="s">
        <v>38</v>
      </c>
      <c r="C676" s="3" t="s">
        <v>2</v>
      </c>
      <c r="D676" s="4">
        <v>133338</v>
      </c>
      <c r="E676" s="4">
        <v>75112</v>
      </c>
    </row>
    <row r="677" spans="1:5" x14ac:dyDescent="0.3">
      <c r="A677" s="2" t="s">
        <v>27</v>
      </c>
      <c r="B677" s="3" t="s">
        <v>38</v>
      </c>
      <c r="C677" s="3" t="s">
        <v>3</v>
      </c>
      <c r="D677" s="4">
        <v>161306</v>
      </c>
      <c r="E677" s="4">
        <v>80543</v>
      </c>
    </row>
    <row r="678" spans="1:5" x14ac:dyDescent="0.3">
      <c r="A678" s="2" t="s">
        <v>27</v>
      </c>
      <c r="B678" s="3" t="s">
        <v>38</v>
      </c>
      <c r="C678" s="3" t="s">
        <v>4</v>
      </c>
      <c r="D678" s="4">
        <v>177507</v>
      </c>
      <c r="E678" s="4">
        <v>102581</v>
      </c>
    </row>
    <row r="679" spans="1:5" x14ac:dyDescent="0.3">
      <c r="A679" s="2" t="s">
        <v>27</v>
      </c>
      <c r="B679" s="3" t="s">
        <v>38</v>
      </c>
      <c r="C679" s="3" t="s">
        <v>5</v>
      </c>
      <c r="D679" s="4">
        <v>172671</v>
      </c>
      <c r="E679" s="4">
        <v>90568</v>
      </c>
    </row>
    <row r="680" spans="1:5" x14ac:dyDescent="0.3">
      <c r="A680" s="2" t="s">
        <v>27</v>
      </c>
      <c r="B680" s="3" t="s">
        <v>38</v>
      </c>
      <c r="C680" s="3" t="s">
        <v>6</v>
      </c>
      <c r="D680" s="4">
        <v>153845</v>
      </c>
      <c r="E680" s="4">
        <v>94094</v>
      </c>
    </row>
    <row r="681" spans="1:5" x14ac:dyDescent="0.3">
      <c r="A681" s="2" t="s">
        <v>27</v>
      </c>
      <c r="B681" s="3" t="s">
        <v>38</v>
      </c>
      <c r="C681" s="3" t="s">
        <v>7</v>
      </c>
      <c r="D681" s="4">
        <v>154523</v>
      </c>
      <c r="E681" s="4">
        <v>86340</v>
      </c>
    </row>
    <row r="682" spans="1:5" x14ac:dyDescent="0.3">
      <c r="A682" s="2" t="s">
        <v>27</v>
      </c>
      <c r="B682" s="3" t="s">
        <v>38</v>
      </c>
      <c r="C682" s="3" t="s">
        <v>8</v>
      </c>
      <c r="D682" s="4">
        <v>148789</v>
      </c>
      <c r="E682" s="4">
        <v>103253</v>
      </c>
    </row>
    <row r="683" spans="1:5" x14ac:dyDescent="0.3">
      <c r="A683" s="2" t="s">
        <v>27</v>
      </c>
      <c r="B683" s="3" t="s">
        <v>38</v>
      </c>
      <c r="C683" s="3" t="s">
        <v>9</v>
      </c>
      <c r="D683" s="4">
        <v>177779</v>
      </c>
      <c r="E683" s="4">
        <v>121834</v>
      </c>
    </row>
    <row r="684" spans="1:5" x14ac:dyDescent="0.3">
      <c r="A684" s="2" t="s">
        <v>27</v>
      </c>
      <c r="B684" s="3" t="s">
        <v>38</v>
      </c>
      <c r="C684" s="3" t="s">
        <v>10</v>
      </c>
      <c r="D684" s="4">
        <v>168115</v>
      </c>
      <c r="E684" s="4">
        <v>80871</v>
      </c>
    </row>
    <row r="685" spans="1:5" x14ac:dyDescent="0.3">
      <c r="A685" s="2" t="s">
        <v>27</v>
      </c>
      <c r="B685" s="3" t="s">
        <v>38</v>
      </c>
      <c r="C685" s="3" t="s">
        <v>11</v>
      </c>
      <c r="D685" s="4">
        <v>174305</v>
      </c>
      <c r="E685" s="4">
        <v>88447</v>
      </c>
    </row>
    <row r="686" spans="1:5" x14ac:dyDescent="0.3">
      <c r="A686" s="2" t="s">
        <v>27</v>
      </c>
      <c r="B686" s="3" t="s">
        <v>38</v>
      </c>
      <c r="C686" s="3" t="s">
        <v>12</v>
      </c>
      <c r="D686" s="4">
        <v>162370</v>
      </c>
      <c r="E686" s="4">
        <v>97907</v>
      </c>
    </row>
    <row r="687" spans="1:5" x14ac:dyDescent="0.3">
      <c r="A687" s="2" t="s">
        <v>27</v>
      </c>
      <c r="B687" s="3" t="s">
        <v>38</v>
      </c>
      <c r="C687" s="3" t="s">
        <v>13</v>
      </c>
      <c r="D687" s="4">
        <v>179426</v>
      </c>
      <c r="E687" s="4">
        <v>150765</v>
      </c>
    </row>
    <row r="688" spans="1:5" x14ac:dyDescent="0.3">
      <c r="A688" s="2" t="s">
        <v>27</v>
      </c>
      <c r="B688" s="3" t="s">
        <v>36</v>
      </c>
      <c r="C688" s="3" t="s">
        <v>2</v>
      </c>
      <c r="D688" s="4">
        <v>47491</v>
      </c>
      <c r="E688" s="4">
        <v>21692</v>
      </c>
    </row>
    <row r="689" spans="1:5" x14ac:dyDescent="0.3">
      <c r="A689" s="2" t="s">
        <v>27</v>
      </c>
      <c r="B689" s="3" t="s">
        <v>36</v>
      </c>
      <c r="C689" s="3" t="s">
        <v>3</v>
      </c>
      <c r="D689" s="4">
        <v>46716</v>
      </c>
      <c r="E689" s="4">
        <v>21755</v>
      </c>
    </row>
    <row r="690" spans="1:5" x14ac:dyDescent="0.3">
      <c r="A690" s="2" t="s">
        <v>27</v>
      </c>
      <c r="B690" s="3" t="s">
        <v>36</v>
      </c>
      <c r="C690" s="3" t="s">
        <v>4</v>
      </c>
      <c r="D690" s="4">
        <v>56981</v>
      </c>
      <c r="E690" s="4">
        <v>26024</v>
      </c>
    </row>
    <row r="691" spans="1:5" x14ac:dyDescent="0.3">
      <c r="A691" s="2" t="s">
        <v>27</v>
      </c>
      <c r="B691" s="3" t="s">
        <v>36</v>
      </c>
      <c r="C691" s="3" t="s">
        <v>5</v>
      </c>
      <c r="D691" s="4">
        <v>67013</v>
      </c>
      <c r="E691" s="4">
        <v>25447</v>
      </c>
    </row>
    <row r="692" spans="1:5" x14ac:dyDescent="0.3">
      <c r="A692" s="2" t="s">
        <v>27</v>
      </c>
      <c r="B692" s="3" t="s">
        <v>36</v>
      </c>
      <c r="C692" s="3" t="s">
        <v>6</v>
      </c>
      <c r="D692" s="4">
        <v>63103</v>
      </c>
      <c r="E692" s="4">
        <v>26447</v>
      </c>
    </row>
    <row r="693" spans="1:5" x14ac:dyDescent="0.3">
      <c r="A693" s="2" t="s">
        <v>27</v>
      </c>
      <c r="B693" s="3" t="s">
        <v>36</v>
      </c>
      <c r="C693" s="3" t="s">
        <v>7</v>
      </c>
      <c r="D693" s="4">
        <v>59848</v>
      </c>
      <c r="E693" s="4">
        <v>25101</v>
      </c>
    </row>
    <row r="694" spans="1:5" x14ac:dyDescent="0.3">
      <c r="A694" s="2" t="s">
        <v>27</v>
      </c>
      <c r="B694" s="3" t="s">
        <v>36</v>
      </c>
      <c r="C694" s="3" t="s">
        <v>8</v>
      </c>
      <c r="D694" s="4">
        <v>60321</v>
      </c>
      <c r="E694" s="4">
        <v>26686</v>
      </c>
    </row>
    <row r="695" spans="1:5" x14ac:dyDescent="0.3">
      <c r="A695" s="2" t="s">
        <v>27</v>
      </c>
      <c r="B695" s="3" t="s">
        <v>36</v>
      </c>
      <c r="C695" s="3" t="s">
        <v>9</v>
      </c>
      <c r="D695" s="4">
        <v>51423</v>
      </c>
      <c r="E695" s="4">
        <v>27424</v>
      </c>
    </row>
    <row r="696" spans="1:5" x14ac:dyDescent="0.3">
      <c r="A696" s="2" t="s">
        <v>27</v>
      </c>
      <c r="B696" s="3" t="s">
        <v>36</v>
      </c>
      <c r="C696" s="3" t="s">
        <v>10</v>
      </c>
      <c r="D696" s="4">
        <v>48668</v>
      </c>
      <c r="E696" s="4">
        <v>19500</v>
      </c>
    </row>
    <row r="697" spans="1:5" x14ac:dyDescent="0.3">
      <c r="A697" s="2" t="s">
        <v>27</v>
      </c>
      <c r="B697" s="3" t="s">
        <v>36</v>
      </c>
      <c r="C697" s="3" t="s">
        <v>11</v>
      </c>
      <c r="D697" s="4">
        <v>62506</v>
      </c>
      <c r="E697" s="4">
        <v>25437</v>
      </c>
    </row>
    <row r="698" spans="1:5" x14ac:dyDescent="0.3">
      <c r="A698" s="2" t="s">
        <v>27</v>
      </c>
      <c r="B698" s="3" t="s">
        <v>36</v>
      </c>
      <c r="C698" s="3" t="s">
        <v>12</v>
      </c>
      <c r="D698" s="4">
        <v>75367</v>
      </c>
      <c r="E698" s="4">
        <v>27902</v>
      </c>
    </row>
    <row r="699" spans="1:5" x14ac:dyDescent="0.3">
      <c r="A699" s="2" t="s">
        <v>27</v>
      </c>
      <c r="B699" s="3" t="s">
        <v>36</v>
      </c>
      <c r="C699" s="3" t="s">
        <v>13</v>
      </c>
      <c r="D699" s="4">
        <v>73233</v>
      </c>
      <c r="E699" s="4">
        <v>43767</v>
      </c>
    </row>
    <row r="700" spans="1:5" x14ac:dyDescent="0.3">
      <c r="A700" s="2" t="s">
        <v>27</v>
      </c>
      <c r="B700" s="3" t="s">
        <v>35</v>
      </c>
      <c r="C700" s="3" t="s">
        <v>2</v>
      </c>
      <c r="D700" s="4">
        <v>183377</v>
      </c>
      <c r="E700" s="4">
        <v>81961</v>
      </c>
    </row>
    <row r="701" spans="1:5" x14ac:dyDescent="0.3">
      <c r="A701" s="2" t="s">
        <v>27</v>
      </c>
      <c r="B701" s="3" t="s">
        <v>35</v>
      </c>
      <c r="C701" s="3" t="s">
        <v>3</v>
      </c>
      <c r="D701" s="4">
        <v>145412</v>
      </c>
      <c r="E701" s="4">
        <v>65795</v>
      </c>
    </row>
    <row r="702" spans="1:5" x14ac:dyDescent="0.3">
      <c r="A702" s="2" t="s">
        <v>27</v>
      </c>
      <c r="B702" s="3" t="s">
        <v>35</v>
      </c>
      <c r="C702" s="3" t="s">
        <v>4</v>
      </c>
      <c r="D702" s="4">
        <v>198669</v>
      </c>
      <c r="E702" s="4">
        <v>92502</v>
      </c>
    </row>
    <row r="703" spans="1:5" x14ac:dyDescent="0.3">
      <c r="A703" s="2" t="s">
        <v>27</v>
      </c>
      <c r="B703" s="3" t="s">
        <v>35</v>
      </c>
      <c r="C703" s="3" t="s">
        <v>5</v>
      </c>
      <c r="D703" s="4">
        <v>283203</v>
      </c>
      <c r="E703" s="4">
        <v>94335</v>
      </c>
    </row>
    <row r="704" spans="1:5" x14ac:dyDescent="0.3">
      <c r="A704" s="2" t="s">
        <v>27</v>
      </c>
      <c r="B704" s="3" t="s">
        <v>35</v>
      </c>
      <c r="C704" s="3" t="s">
        <v>6</v>
      </c>
      <c r="D704" s="4">
        <v>261562</v>
      </c>
      <c r="E704" s="4">
        <v>88845</v>
      </c>
    </row>
    <row r="705" spans="1:5" x14ac:dyDescent="0.3">
      <c r="A705" s="2" t="s">
        <v>27</v>
      </c>
      <c r="B705" s="3" t="s">
        <v>35</v>
      </c>
      <c r="C705" s="3" t="s">
        <v>7</v>
      </c>
      <c r="D705" s="4">
        <v>225259</v>
      </c>
      <c r="E705" s="4">
        <v>81667</v>
      </c>
    </row>
    <row r="706" spans="1:5" x14ac:dyDescent="0.3">
      <c r="A706" s="2" t="s">
        <v>27</v>
      </c>
      <c r="B706" s="3" t="s">
        <v>35</v>
      </c>
      <c r="C706" s="3" t="s">
        <v>8</v>
      </c>
      <c r="D706" s="4">
        <v>204929</v>
      </c>
      <c r="E706" s="4">
        <v>88477</v>
      </c>
    </row>
    <row r="707" spans="1:5" x14ac:dyDescent="0.3">
      <c r="A707" s="2" t="s">
        <v>27</v>
      </c>
      <c r="B707" s="3" t="s">
        <v>35</v>
      </c>
      <c r="C707" s="3" t="s">
        <v>9</v>
      </c>
      <c r="D707" s="4">
        <v>196360</v>
      </c>
      <c r="E707" s="4">
        <v>101953</v>
      </c>
    </row>
    <row r="708" spans="1:5" x14ac:dyDescent="0.3">
      <c r="A708" s="2" t="s">
        <v>27</v>
      </c>
      <c r="B708" s="3" t="s">
        <v>35</v>
      </c>
      <c r="C708" s="3" t="s">
        <v>10</v>
      </c>
      <c r="D708" s="4">
        <v>291460</v>
      </c>
      <c r="E708" s="4">
        <v>108253</v>
      </c>
    </row>
    <row r="709" spans="1:5" x14ac:dyDescent="0.3">
      <c r="A709" s="2" t="s">
        <v>27</v>
      </c>
      <c r="B709" s="3" t="s">
        <v>35</v>
      </c>
      <c r="C709" s="3" t="s">
        <v>11</v>
      </c>
      <c r="D709" s="4">
        <v>286186</v>
      </c>
      <c r="E709" s="4">
        <v>128660</v>
      </c>
    </row>
    <row r="710" spans="1:5" x14ac:dyDescent="0.3">
      <c r="A710" s="2" t="s">
        <v>27</v>
      </c>
      <c r="B710" s="3" t="s">
        <v>35</v>
      </c>
      <c r="C710" s="3" t="s">
        <v>12</v>
      </c>
      <c r="D710" s="4">
        <v>272970</v>
      </c>
      <c r="E710" s="4">
        <v>151533</v>
      </c>
    </row>
    <row r="711" spans="1:5" x14ac:dyDescent="0.3">
      <c r="A711" s="2" t="s">
        <v>27</v>
      </c>
      <c r="B711" s="3" t="s">
        <v>35</v>
      </c>
      <c r="C711" s="3" t="s">
        <v>13</v>
      </c>
      <c r="D711" s="4">
        <v>287058</v>
      </c>
      <c r="E711" s="4">
        <v>254268</v>
      </c>
    </row>
    <row r="712" spans="1:5" x14ac:dyDescent="0.3">
      <c r="A712" s="2" t="s">
        <v>27</v>
      </c>
      <c r="B712" s="3" t="s">
        <v>34</v>
      </c>
      <c r="C712" s="3" t="s">
        <v>2</v>
      </c>
      <c r="D712" s="4">
        <v>4197</v>
      </c>
      <c r="E712" s="4">
        <v>789</v>
      </c>
    </row>
    <row r="713" spans="1:5" x14ac:dyDescent="0.3">
      <c r="A713" s="2" t="s">
        <v>27</v>
      </c>
      <c r="B713" s="3" t="s">
        <v>34</v>
      </c>
      <c r="C713" s="3" t="s">
        <v>3</v>
      </c>
      <c r="D713" s="4">
        <v>4458</v>
      </c>
      <c r="E713" s="4">
        <v>738</v>
      </c>
    </row>
    <row r="714" spans="1:5" x14ac:dyDescent="0.3">
      <c r="A714" s="2" t="s">
        <v>27</v>
      </c>
      <c r="B714" s="3" t="s">
        <v>34</v>
      </c>
      <c r="C714" s="3" t="s">
        <v>4</v>
      </c>
      <c r="D714" s="4">
        <v>4863</v>
      </c>
      <c r="E714" s="4">
        <v>669</v>
      </c>
    </row>
    <row r="715" spans="1:5" x14ac:dyDescent="0.3">
      <c r="A715" s="2" t="s">
        <v>27</v>
      </c>
      <c r="B715" s="3" t="s">
        <v>34</v>
      </c>
      <c r="C715" s="3" t="s">
        <v>5</v>
      </c>
      <c r="D715" s="4">
        <v>4856</v>
      </c>
      <c r="E715" s="4">
        <v>860</v>
      </c>
    </row>
    <row r="716" spans="1:5" x14ac:dyDescent="0.3">
      <c r="A716" s="2" t="s">
        <v>27</v>
      </c>
      <c r="B716" s="3" t="s">
        <v>34</v>
      </c>
      <c r="C716" s="3" t="s">
        <v>6</v>
      </c>
      <c r="D716" s="4">
        <v>4154</v>
      </c>
      <c r="E716" s="4">
        <v>1167</v>
      </c>
    </row>
    <row r="717" spans="1:5" x14ac:dyDescent="0.3">
      <c r="A717" s="2" t="s">
        <v>27</v>
      </c>
      <c r="B717" s="3" t="s">
        <v>34</v>
      </c>
      <c r="C717" s="3" t="s">
        <v>7</v>
      </c>
      <c r="D717" s="4">
        <v>21997</v>
      </c>
      <c r="E717" s="4">
        <v>4031</v>
      </c>
    </row>
    <row r="718" spans="1:5" x14ac:dyDescent="0.3">
      <c r="A718" s="2" t="s">
        <v>27</v>
      </c>
      <c r="B718" s="3" t="s">
        <v>34</v>
      </c>
      <c r="C718" s="3" t="s">
        <v>8</v>
      </c>
      <c r="D718" s="4">
        <v>30024</v>
      </c>
      <c r="E718" s="4">
        <v>9692</v>
      </c>
    </row>
    <row r="719" spans="1:5" x14ac:dyDescent="0.3">
      <c r="A719" s="2" t="s">
        <v>27</v>
      </c>
      <c r="B719" s="3" t="s">
        <v>34</v>
      </c>
      <c r="C719" s="3" t="s">
        <v>9</v>
      </c>
      <c r="D719" s="4">
        <v>24638</v>
      </c>
      <c r="E719" s="4">
        <v>18437</v>
      </c>
    </row>
    <row r="720" spans="1:5" x14ac:dyDescent="0.3">
      <c r="A720" s="2" t="s">
        <v>27</v>
      </c>
      <c r="B720" s="3" t="s">
        <v>34</v>
      </c>
      <c r="C720" s="3" t="s">
        <v>10</v>
      </c>
      <c r="D720" s="4">
        <v>8380</v>
      </c>
      <c r="E720" s="4">
        <v>2697</v>
      </c>
    </row>
    <row r="721" spans="1:5" x14ac:dyDescent="0.3">
      <c r="A721" s="2" t="s">
        <v>27</v>
      </c>
      <c r="B721" s="3" t="s">
        <v>34</v>
      </c>
      <c r="C721" s="3" t="s">
        <v>11</v>
      </c>
      <c r="D721" s="4">
        <v>11133</v>
      </c>
      <c r="E721" s="4">
        <v>2803</v>
      </c>
    </row>
    <row r="722" spans="1:5" x14ac:dyDescent="0.3">
      <c r="A722" s="2" t="s">
        <v>27</v>
      </c>
      <c r="B722" s="3" t="s">
        <v>34</v>
      </c>
      <c r="C722" s="3" t="s">
        <v>12</v>
      </c>
      <c r="D722" s="4">
        <v>10026</v>
      </c>
      <c r="E722" s="4">
        <v>3296</v>
      </c>
    </row>
    <row r="723" spans="1:5" x14ac:dyDescent="0.3">
      <c r="A723" s="2" t="s">
        <v>27</v>
      </c>
      <c r="B723" s="3" t="s">
        <v>34</v>
      </c>
      <c r="C723" s="3" t="s">
        <v>13</v>
      </c>
      <c r="D723" s="4">
        <v>6852</v>
      </c>
      <c r="E723" s="4">
        <v>2588</v>
      </c>
    </row>
    <row r="724" spans="1:5" x14ac:dyDescent="0.3">
      <c r="A724" s="2" t="s">
        <v>28</v>
      </c>
      <c r="B724" s="3" t="s">
        <v>37</v>
      </c>
      <c r="C724" s="3" t="s">
        <v>2</v>
      </c>
      <c r="D724" s="4">
        <v>56567</v>
      </c>
      <c r="E724" s="4">
        <v>21416</v>
      </c>
    </row>
    <row r="725" spans="1:5" x14ac:dyDescent="0.3">
      <c r="A725" s="2" t="s">
        <v>28</v>
      </c>
      <c r="B725" s="3" t="s">
        <v>37</v>
      </c>
      <c r="C725" s="3" t="s">
        <v>3</v>
      </c>
      <c r="D725" s="4">
        <v>56524</v>
      </c>
      <c r="E725" s="4">
        <v>22542</v>
      </c>
    </row>
    <row r="726" spans="1:5" x14ac:dyDescent="0.3">
      <c r="A726" s="2" t="s">
        <v>28</v>
      </c>
      <c r="B726" s="3" t="s">
        <v>37</v>
      </c>
      <c r="C726" s="3" t="s">
        <v>4</v>
      </c>
      <c r="D726" s="4">
        <v>65092</v>
      </c>
      <c r="E726" s="4">
        <v>28214</v>
      </c>
    </row>
    <row r="727" spans="1:5" x14ac:dyDescent="0.3">
      <c r="A727" s="2" t="s">
        <v>28</v>
      </c>
      <c r="B727" s="3" t="s">
        <v>37</v>
      </c>
      <c r="C727" s="3" t="s">
        <v>5</v>
      </c>
      <c r="D727" s="4">
        <v>69430</v>
      </c>
      <c r="E727" s="4">
        <v>23994</v>
      </c>
    </row>
    <row r="728" spans="1:5" x14ac:dyDescent="0.3">
      <c r="A728" s="2" t="s">
        <v>28</v>
      </c>
      <c r="B728" s="3" t="s">
        <v>37</v>
      </c>
      <c r="C728" s="3" t="s">
        <v>6</v>
      </c>
      <c r="D728" s="4">
        <v>67915</v>
      </c>
      <c r="E728" s="4">
        <v>26970</v>
      </c>
    </row>
    <row r="729" spans="1:5" x14ac:dyDescent="0.3">
      <c r="A729" s="2" t="s">
        <v>28</v>
      </c>
      <c r="B729" s="3" t="s">
        <v>37</v>
      </c>
      <c r="C729" s="3" t="s">
        <v>7</v>
      </c>
      <c r="D729" s="4">
        <v>72923</v>
      </c>
      <c r="E729" s="4">
        <v>28185</v>
      </c>
    </row>
    <row r="730" spans="1:5" x14ac:dyDescent="0.3">
      <c r="A730" s="2" t="s">
        <v>28</v>
      </c>
      <c r="B730" s="3" t="s">
        <v>37</v>
      </c>
      <c r="C730" s="3" t="s">
        <v>8</v>
      </c>
      <c r="D730" s="4">
        <v>70291</v>
      </c>
      <c r="E730" s="4">
        <v>24223</v>
      </c>
    </row>
    <row r="731" spans="1:5" x14ac:dyDescent="0.3">
      <c r="A731" s="2" t="s">
        <v>28</v>
      </c>
      <c r="B731" s="3" t="s">
        <v>37</v>
      </c>
      <c r="C731" s="3" t="s">
        <v>9</v>
      </c>
      <c r="D731" s="4">
        <v>71902</v>
      </c>
      <c r="E731" s="4">
        <v>29482</v>
      </c>
    </row>
    <row r="732" spans="1:5" x14ac:dyDescent="0.3">
      <c r="A732" s="2" t="s">
        <v>28</v>
      </c>
      <c r="B732" s="3" t="s">
        <v>37</v>
      </c>
      <c r="C732" s="3" t="s">
        <v>10</v>
      </c>
      <c r="D732" s="4">
        <v>79072</v>
      </c>
      <c r="E732" s="4">
        <v>23467</v>
      </c>
    </row>
    <row r="733" spans="1:5" x14ac:dyDescent="0.3">
      <c r="A733" s="2" t="s">
        <v>28</v>
      </c>
      <c r="B733" s="3" t="s">
        <v>37</v>
      </c>
      <c r="C733" s="3" t="s">
        <v>11</v>
      </c>
      <c r="D733" s="4">
        <v>72208</v>
      </c>
      <c r="E733" s="4">
        <v>22468</v>
      </c>
    </row>
    <row r="734" spans="1:5" x14ac:dyDescent="0.3">
      <c r="A734" s="2" t="s">
        <v>28</v>
      </c>
      <c r="B734" s="3" t="s">
        <v>37</v>
      </c>
      <c r="C734" s="3" t="s">
        <v>12</v>
      </c>
      <c r="D734" s="4">
        <v>70135</v>
      </c>
      <c r="E734" s="4">
        <v>22811</v>
      </c>
    </row>
    <row r="735" spans="1:5" x14ac:dyDescent="0.3">
      <c r="A735" s="2" t="s">
        <v>28</v>
      </c>
      <c r="B735" s="3" t="s">
        <v>37</v>
      </c>
      <c r="C735" s="3" t="s">
        <v>13</v>
      </c>
      <c r="D735" s="4">
        <v>79320</v>
      </c>
      <c r="E735" s="4">
        <v>36817</v>
      </c>
    </row>
    <row r="736" spans="1:5" x14ac:dyDescent="0.3">
      <c r="A736" s="2" t="s">
        <v>28</v>
      </c>
      <c r="B736" s="3" t="s">
        <v>38</v>
      </c>
      <c r="C736" s="3" t="s">
        <v>2</v>
      </c>
      <c r="D736" s="4">
        <v>83898</v>
      </c>
      <c r="E736" s="4">
        <v>21948</v>
      </c>
    </row>
    <row r="737" spans="1:5" x14ac:dyDescent="0.3">
      <c r="A737" s="2" t="s">
        <v>28</v>
      </c>
      <c r="B737" s="3" t="s">
        <v>38</v>
      </c>
      <c r="C737" s="3" t="s">
        <v>3</v>
      </c>
      <c r="D737" s="4">
        <v>93252</v>
      </c>
      <c r="E737" s="4">
        <v>23260</v>
      </c>
    </row>
    <row r="738" spans="1:5" x14ac:dyDescent="0.3">
      <c r="A738" s="2" t="s">
        <v>28</v>
      </c>
      <c r="B738" s="3" t="s">
        <v>38</v>
      </c>
      <c r="C738" s="3" t="s">
        <v>4</v>
      </c>
      <c r="D738" s="4">
        <v>102294</v>
      </c>
      <c r="E738" s="4">
        <v>30412</v>
      </c>
    </row>
    <row r="739" spans="1:5" x14ac:dyDescent="0.3">
      <c r="A739" s="2" t="s">
        <v>28</v>
      </c>
      <c r="B739" s="3" t="s">
        <v>38</v>
      </c>
      <c r="C739" s="3" t="s">
        <v>5</v>
      </c>
      <c r="D739" s="4">
        <v>102362</v>
      </c>
      <c r="E739" s="4">
        <v>28036</v>
      </c>
    </row>
    <row r="740" spans="1:5" x14ac:dyDescent="0.3">
      <c r="A740" s="2" t="s">
        <v>28</v>
      </c>
      <c r="B740" s="3" t="s">
        <v>38</v>
      </c>
      <c r="C740" s="3" t="s">
        <v>6</v>
      </c>
      <c r="D740" s="4">
        <v>96274</v>
      </c>
      <c r="E740" s="4">
        <v>28480</v>
      </c>
    </row>
    <row r="741" spans="1:5" x14ac:dyDescent="0.3">
      <c r="A741" s="2" t="s">
        <v>28</v>
      </c>
      <c r="B741" s="3" t="s">
        <v>38</v>
      </c>
      <c r="C741" s="3" t="s">
        <v>7</v>
      </c>
      <c r="D741" s="4">
        <v>91219</v>
      </c>
      <c r="E741" s="4">
        <v>23101</v>
      </c>
    </row>
    <row r="742" spans="1:5" x14ac:dyDescent="0.3">
      <c r="A742" s="2" t="s">
        <v>28</v>
      </c>
      <c r="B742" s="3" t="s">
        <v>38</v>
      </c>
      <c r="C742" s="3" t="s">
        <v>8</v>
      </c>
      <c r="D742" s="4">
        <v>94679</v>
      </c>
      <c r="E742" s="4">
        <v>27494</v>
      </c>
    </row>
    <row r="743" spans="1:5" x14ac:dyDescent="0.3">
      <c r="A743" s="2" t="s">
        <v>28</v>
      </c>
      <c r="B743" s="3" t="s">
        <v>38</v>
      </c>
      <c r="C743" s="3" t="s">
        <v>9</v>
      </c>
      <c r="D743" s="4">
        <v>94204</v>
      </c>
      <c r="E743" s="4">
        <v>34507</v>
      </c>
    </row>
    <row r="744" spans="1:5" x14ac:dyDescent="0.3">
      <c r="A744" s="2" t="s">
        <v>28</v>
      </c>
      <c r="B744" s="3" t="s">
        <v>38</v>
      </c>
      <c r="C744" s="3" t="s">
        <v>10</v>
      </c>
      <c r="D744" s="4">
        <v>95001</v>
      </c>
      <c r="E744" s="4">
        <v>21423</v>
      </c>
    </row>
    <row r="745" spans="1:5" x14ac:dyDescent="0.3">
      <c r="A745" s="2" t="s">
        <v>28</v>
      </c>
      <c r="B745" s="3" t="s">
        <v>38</v>
      </c>
      <c r="C745" s="3" t="s">
        <v>11</v>
      </c>
      <c r="D745" s="4">
        <v>102867</v>
      </c>
      <c r="E745" s="4">
        <v>24564</v>
      </c>
    </row>
    <row r="746" spans="1:5" x14ac:dyDescent="0.3">
      <c r="A746" s="2" t="s">
        <v>28</v>
      </c>
      <c r="B746" s="3" t="s">
        <v>38</v>
      </c>
      <c r="C746" s="3" t="s">
        <v>12</v>
      </c>
      <c r="D746" s="4">
        <v>100618</v>
      </c>
      <c r="E746" s="4">
        <v>29393</v>
      </c>
    </row>
    <row r="747" spans="1:5" x14ac:dyDescent="0.3">
      <c r="A747" s="2" t="s">
        <v>28</v>
      </c>
      <c r="B747" s="3" t="s">
        <v>38</v>
      </c>
      <c r="C747" s="3" t="s">
        <v>13</v>
      </c>
      <c r="D747" s="4">
        <v>97906</v>
      </c>
      <c r="E747" s="4">
        <v>48126</v>
      </c>
    </row>
    <row r="748" spans="1:5" x14ac:dyDescent="0.3">
      <c r="A748" s="2" t="s">
        <v>28</v>
      </c>
      <c r="B748" s="3" t="s">
        <v>36</v>
      </c>
      <c r="C748" s="3" t="s">
        <v>2</v>
      </c>
      <c r="D748" s="4">
        <v>28266</v>
      </c>
      <c r="E748" s="4">
        <v>11258</v>
      </c>
    </row>
    <row r="749" spans="1:5" x14ac:dyDescent="0.3">
      <c r="A749" s="2" t="s">
        <v>28</v>
      </c>
      <c r="B749" s="3" t="s">
        <v>36</v>
      </c>
      <c r="C749" s="3" t="s">
        <v>3</v>
      </c>
      <c r="D749" s="4">
        <v>27122</v>
      </c>
      <c r="E749" s="4">
        <v>10742</v>
      </c>
    </row>
    <row r="750" spans="1:5" x14ac:dyDescent="0.3">
      <c r="A750" s="2" t="s">
        <v>28</v>
      </c>
      <c r="B750" s="3" t="s">
        <v>36</v>
      </c>
      <c r="C750" s="3" t="s">
        <v>4</v>
      </c>
      <c r="D750" s="4">
        <v>37860</v>
      </c>
      <c r="E750" s="4">
        <v>12210</v>
      </c>
    </row>
    <row r="751" spans="1:5" x14ac:dyDescent="0.3">
      <c r="A751" s="2" t="s">
        <v>28</v>
      </c>
      <c r="B751" s="3" t="s">
        <v>36</v>
      </c>
      <c r="C751" s="3" t="s">
        <v>5</v>
      </c>
      <c r="D751" s="4">
        <v>42908</v>
      </c>
      <c r="E751" s="4">
        <v>14255</v>
      </c>
    </row>
    <row r="752" spans="1:5" x14ac:dyDescent="0.3">
      <c r="A752" s="2" t="s">
        <v>28</v>
      </c>
      <c r="B752" s="3" t="s">
        <v>36</v>
      </c>
      <c r="C752" s="3" t="s">
        <v>6</v>
      </c>
      <c r="D752" s="4">
        <v>41327</v>
      </c>
      <c r="E752" s="4">
        <v>15954</v>
      </c>
    </row>
    <row r="753" spans="1:5" x14ac:dyDescent="0.3">
      <c r="A753" s="2" t="s">
        <v>28</v>
      </c>
      <c r="B753" s="3" t="s">
        <v>36</v>
      </c>
      <c r="C753" s="3" t="s">
        <v>7</v>
      </c>
      <c r="D753" s="4">
        <v>37645</v>
      </c>
      <c r="E753" s="4">
        <v>13776</v>
      </c>
    </row>
    <row r="754" spans="1:5" x14ac:dyDescent="0.3">
      <c r="A754" s="2" t="s">
        <v>28</v>
      </c>
      <c r="B754" s="3" t="s">
        <v>36</v>
      </c>
      <c r="C754" s="3" t="s">
        <v>8</v>
      </c>
      <c r="D754" s="4">
        <v>35444</v>
      </c>
      <c r="E754" s="4">
        <v>14978</v>
      </c>
    </row>
    <row r="755" spans="1:5" x14ac:dyDescent="0.3">
      <c r="A755" s="2" t="s">
        <v>28</v>
      </c>
      <c r="B755" s="3" t="s">
        <v>36</v>
      </c>
      <c r="C755" s="3" t="s">
        <v>9</v>
      </c>
      <c r="D755" s="4">
        <v>30227</v>
      </c>
      <c r="E755" s="4">
        <v>16342</v>
      </c>
    </row>
    <row r="756" spans="1:5" x14ac:dyDescent="0.3">
      <c r="A756" s="2" t="s">
        <v>28</v>
      </c>
      <c r="B756" s="3" t="s">
        <v>36</v>
      </c>
      <c r="C756" s="3" t="s">
        <v>10</v>
      </c>
      <c r="D756" s="4">
        <v>32123</v>
      </c>
      <c r="E756" s="4">
        <v>12152</v>
      </c>
    </row>
    <row r="757" spans="1:5" x14ac:dyDescent="0.3">
      <c r="A757" s="2" t="s">
        <v>28</v>
      </c>
      <c r="B757" s="3" t="s">
        <v>36</v>
      </c>
      <c r="C757" s="3" t="s">
        <v>11</v>
      </c>
      <c r="D757" s="4">
        <v>42906</v>
      </c>
      <c r="E757" s="4">
        <v>14526</v>
      </c>
    </row>
    <row r="758" spans="1:5" x14ac:dyDescent="0.3">
      <c r="A758" s="2" t="s">
        <v>28</v>
      </c>
      <c r="B758" s="3" t="s">
        <v>36</v>
      </c>
      <c r="C758" s="3" t="s">
        <v>12</v>
      </c>
      <c r="D758" s="4">
        <v>48650</v>
      </c>
      <c r="E758" s="4">
        <v>18119</v>
      </c>
    </row>
    <row r="759" spans="1:5" x14ac:dyDescent="0.3">
      <c r="A759" s="2" t="s">
        <v>28</v>
      </c>
      <c r="B759" s="3" t="s">
        <v>36</v>
      </c>
      <c r="C759" s="3" t="s">
        <v>13</v>
      </c>
      <c r="D759" s="4">
        <v>45251</v>
      </c>
      <c r="E759" s="4">
        <v>33005</v>
      </c>
    </row>
    <row r="760" spans="1:5" x14ac:dyDescent="0.3">
      <c r="A760" s="2" t="s">
        <v>28</v>
      </c>
      <c r="B760" s="3" t="s">
        <v>35</v>
      </c>
      <c r="C760" s="3" t="s">
        <v>2</v>
      </c>
      <c r="D760" s="4">
        <v>105417</v>
      </c>
      <c r="E760" s="4">
        <v>43169</v>
      </c>
    </row>
    <row r="761" spans="1:5" x14ac:dyDescent="0.3">
      <c r="A761" s="2" t="s">
        <v>28</v>
      </c>
      <c r="B761" s="3" t="s">
        <v>35</v>
      </c>
      <c r="C761" s="3" t="s">
        <v>3</v>
      </c>
      <c r="D761" s="4">
        <v>91510</v>
      </c>
      <c r="E761" s="4">
        <v>31852</v>
      </c>
    </row>
    <row r="762" spans="1:5" x14ac:dyDescent="0.3">
      <c r="A762" s="2" t="s">
        <v>28</v>
      </c>
      <c r="B762" s="3" t="s">
        <v>35</v>
      </c>
      <c r="C762" s="3" t="s">
        <v>4</v>
      </c>
      <c r="D762" s="4">
        <v>120542</v>
      </c>
      <c r="E762" s="4">
        <v>42873</v>
      </c>
    </row>
    <row r="763" spans="1:5" x14ac:dyDescent="0.3">
      <c r="A763" s="2" t="s">
        <v>28</v>
      </c>
      <c r="B763" s="3" t="s">
        <v>35</v>
      </c>
      <c r="C763" s="3" t="s">
        <v>5</v>
      </c>
      <c r="D763" s="4">
        <v>158877</v>
      </c>
      <c r="E763" s="4">
        <v>46233</v>
      </c>
    </row>
    <row r="764" spans="1:5" x14ac:dyDescent="0.3">
      <c r="A764" s="2" t="s">
        <v>28</v>
      </c>
      <c r="B764" s="3" t="s">
        <v>35</v>
      </c>
      <c r="C764" s="3" t="s">
        <v>6</v>
      </c>
      <c r="D764" s="4">
        <v>143987</v>
      </c>
      <c r="E764" s="4">
        <v>44010</v>
      </c>
    </row>
    <row r="765" spans="1:5" x14ac:dyDescent="0.3">
      <c r="A765" s="2" t="s">
        <v>28</v>
      </c>
      <c r="B765" s="3" t="s">
        <v>35</v>
      </c>
      <c r="C765" s="3" t="s">
        <v>7</v>
      </c>
      <c r="D765" s="4">
        <v>120087</v>
      </c>
      <c r="E765" s="4">
        <v>34680</v>
      </c>
    </row>
    <row r="766" spans="1:5" x14ac:dyDescent="0.3">
      <c r="A766" s="2" t="s">
        <v>28</v>
      </c>
      <c r="B766" s="3" t="s">
        <v>35</v>
      </c>
      <c r="C766" s="3" t="s">
        <v>8</v>
      </c>
      <c r="D766" s="4">
        <v>116942</v>
      </c>
      <c r="E766" s="4">
        <v>38139</v>
      </c>
    </row>
    <row r="767" spans="1:5" x14ac:dyDescent="0.3">
      <c r="A767" s="2" t="s">
        <v>28</v>
      </c>
      <c r="B767" s="3" t="s">
        <v>35</v>
      </c>
      <c r="C767" s="3" t="s">
        <v>9</v>
      </c>
      <c r="D767" s="4">
        <v>119899</v>
      </c>
      <c r="E767" s="4">
        <v>41600</v>
      </c>
    </row>
    <row r="768" spans="1:5" x14ac:dyDescent="0.3">
      <c r="A768" s="2" t="s">
        <v>28</v>
      </c>
      <c r="B768" s="3" t="s">
        <v>35</v>
      </c>
      <c r="C768" s="3" t="s">
        <v>10</v>
      </c>
      <c r="D768" s="4">
        <v>164214</v>
      </c>
      <c r="E768" s="4">
        <v>41129</v>
      </c>
    </row>
    <row r="769" spans="1:5" x14ac:dyDescent="0.3">
      <c r="A769" s="2" t="s">
        <v>28</v>
      </c>
      <c r="B769" s="3" t="s">
        <v>35</v>
      </c>
      <c r="C769" s="3" t="s">
        <v>11</v>
      </c>
      <c r="D769" s="4">
        <v>173248</v>
      </c>
      <c r="E769" s="4">
        <v>59929</v>
      </c>
    </row>
    <row r="770" spans="1:5" x14ac:dyDescent="0.3">
      <c r="A770" s="2" t="s">
        <v>28</v>
      </c>
      <c r="B770" s="3" t="s">
        <v>35</v>
      </c>
      <c r="C770" s="3" t="s">
        <v>12</v>
      </c>
      <c r="D770" s="4">
        <v>165096</v>
      </c>
      <c r="E770" s="4">
        <v>78720</v>
      </c>
    </row>
    <row r="771" spans="1:5" x14ac:dyDescent="0.3">
      <c r="A771" s="2" t="s">
        <v>28</v>
      </c>
      <c r="B771" s="3" t="s">
        <v>35</v>
      </c>
      <c r="C771" s="3" t="s">
        <v>13</v>
      </c>
      <c r="D771" s="4">
        <v>164192</v>
      </c>
      <c r="E771" s="4">
        <v>145239</v>
      </c>
    </row>
    <row r="772" spans="1:5" x14ac:dyDescent="0.3">
      <c r="A772" s="2" t="s">
        <v>28</v>
      </c>
      <c r="B772" s="3" t="s">
        <v>34</v>
      </c>
      <c r="C772" s="3" t="s">
        <v>2</v>
      </c>
      <c r="D772" s="4">
        <v>1688</v>
      </c>
      <c r="E772" s="4">
        <v>291</v>
      </c>
    </row>
    <row r="773" spans="1:5" x14ac:dyDescent="0.3">
      <c r="A773" s="2" t="s">
        <v>28</v>
      </c>
      <c r="B773" s="3" t="s">
        <v>34</v>
      </c>
      <c r="C773" s="3" t="s">
        <v>3</v>
      </c>
      <c r="D773" s="4">
        <v>1587</v>
      </c>
      <c r="E773" s="4">
        <v>268</v>
      </c>
    </row>
    <row r="774" spans="1:5" x14ac:dyDescent="0.3">
      <c r="A774" s="2" t="s">
        <v>28</v>
      </c>
      <c r="B774" s="3" t="s">
        <v>34</v>
      </c>
      <c r="C774" s="3" t="s">
        <v>4</v>
      </c>
      <c r="D774" s="4">
        <v>1708</v>
      </c>
      <c r="E774" s="4">
        <v>216</v>
      </c>
    </row>
    <row r="775" spans="1:5" x14ac:dyDescent="0.3">
      <c r="A775" s="2" t="s">
        <v>28</v>
      </c>
      <c r="B775" s="3" t="s">
        <v>34</v>
      </c>
      <c r="C775" s="3" t="s">
        <v>5</v>
      </c>
      <c r="D775" s="4">
        <v>1700</v>
      </c>
      <c r="E775" s="4">
        <v>271</v>
      </c>
    </row>
    <row r="776" spans="1:5" x14ac:dyDescent="0.3">
      <c r="A776" s="2" t="s">
        <v>28</v>
      </c>
      <c r="B776" s="3" t="s">
        <v>34</v>
      </c>
      <c r="C776" s="3" t="s">
        <v>6</v>
      </c>
      <c r="D776" s="4">
        <v>1485</v>
      </c>
      <c r="E776" s="4">
        <v>452</v>
      </c>
    </row>
    <row r="777" spans="1:5" x14ac:dyDescent="0.3">
      <c r="A777" s="2" t="s">
        <v>28</v>
      </c>
      <c r="B777" s="3" t="s">
        <v>34</v>
      </c>
      <c r="C777" s="3" t="s">
        <v>7</v>
      </c>
      <c r="D777" s="4">
        <v>7460</v>
      </c>
      <c r="E777" s="4">
        <v>1448</v>
      </c>
    </row>
    <row r="778" spans="1:5" x14ac:dyDescent="0.3">
      <c r="A778" s="2" t="s">
        <v>28</v>
      </c>
      <c r="B778" s="3" t="s">
        <v>34</v>
      </c>
      <c r="C778" s="3" t="s">
        <v>8</v>
      </c>
      <c r="D778" s="4">
        <v>9465</v>
      </c>
      <c r="E778" s="4">
        <v>3317</v>
      </c>
    </row>
    <row r="779" spans="1:5" x14ac:dyDescent="0.3">
      <c r="A779" s="2" t="s">
        <v>28</v>
      </c>
      <c r="B779" s="3" t="s">
        <v>34</v>
      </c>
      <c r="C779" s="3" t="s">
        <v>9</v>
      </c>
      <c r="D779" s="4">
        <v>8108</v>
      </c>
      <c r="E779" s="4">
        <v>6037</v>
      </c>
    </row>
    <row r="780" spans="1:5" x14ac:dyDescent="0.3">
      <c r="A780" s="2" t="s">
        <v>28</v>
      </c>
      <c r="B780" s="3" t="s">
        <v>34</v>
      </c>
      <c r="C780" s="3" t="s">
        <v>10</v>
      </c>
      <c r="D780" s="4">
        <v>3512</v>
      </c>
      <c r="E780" s="4">
        <v>649</v>
      </c>
    </row>
    <row r="781" spans="1:5" x14ac:dyDescent="0.3">
      <c r="A781" s="2" t="s">
        <v>28</v>
      </c>
      <c r="B781" s="3" t="s">
        <v>34</v>
      </c>
      <c r="C781" s="3" t="s">
        <v>11</v>
      </c>
      <c r="D781" s="4">
        <v>4596</v>
      </c>
      <c r="E781" s="4">
        <v>823</v>
      </c>
    </row>
    <row r="782" spans="1:5" x14ac:dyDescent="0.3">
      <c r="A782" s="2" t="s">
        <v>28</v>
      </c>
      <c r="B782" s="3" t="s">
        <v>34</v>
      </c>
      <c r="C782" s="3" t="s">
        <v>12</v>
      </c>
      <c r="D782" s="4">
        <v>4190</v>
      </c>
      <c r="E782" s="4">
        <v>1108</v>
      </c>
    </row>
    <row r="783" spans="1:5" x14ac:dyDescent="0.3">
      <c r="A783" s="2" t="s">
        <v>28</v>
      </c>
      <c r="B783" s="3" t="s">
        <v>34</v>
      </c>
      <c r="C783" s="3" t="s">
        <v>13</v>
      </c>
      <c r="D783" s="4">
        <v>3083</v>
      </c>
      <c r="E783" s="4">
        <v>844</v>
      </c>
    </row>
    <row r="784" spans="1:5" x14ac:dyDescent="0.3">
      <c r="A784" s="2" t="s">
        <v>29</v>
      </c>
      <c r="B784" s="3" t="s">
        <v>37</v>
      </c>
      <c r="C784" s="3" t="s">
        <v>2</v>
      </c>
      <c r="D784" s="4">
        <v>34068</v>
      </c>
      <c r="E784" s="4">
        <v>7997</v>
      </c>
    </row>
    <row r="785" spans="1:5" x14ac:dyDescent="0.3">
      <c r="A785" s="2" t="s">
        <v>29</v>
      </c>
      <c r="B785" s="3" t="s">
        <v>37</v>
      </c>
      <c r="C785" s="3" t="s">
        <v>3</v>
      </c>
      <c r="D785" s="4">
        <v>34668</v>
      </c>
      <c r="E785" s="4">
        <v>8813</v>
      </c>
    </row>
    <row r="786" spans="1:5" x14ac:dyDescent="0.3">
      <c r="A786" s="2" t="s">
        <v>29</v>
      </c>
      <c r="B786" s="3" t="s">
        <v>37</v>
      </c>
      <c r="C786" s="3" t="s">
        <v>4</v>
      </c>
      <c r="D786" s="4">
        <v>36554</v>
      </c>
      <c r="E786" s="4">
        <v>10412</v>
      </c>
    </row>
    <row r="787" spans="1:5" x14ac:dyDescent="0.3">
      <c r="A787" s="2" t="s">
        <v>29</v>
      </c>
      <c r="B787" s="3" t="s">
        <v>37</v>
      </c>
      <c r="C787" s="3" t="s">
        <v>5</v>
      </c>
      <c r="D787" s="4">
        <v>37703</v>
      </c>
      <c r="E787" s="4">
        <v>10303</v>
      </c>
    </row>
    <row r="788" spans="1:5" x14ac:dyDescent="0.3">
      <c r="A788" s="2" t="s">
        <v>29</v>
      </c>
      <c r="B788" s="3" t="s">
        <v>37</v>
      </c>
      <c r="C788" s="3" t="s">
        <v>6</v>
      </c>
      <c r="D788" s="4">
        <v>37135</v>
      </c>
      <c r="E788" s="4">
        <v>11505</v>
      </c>
    </row>
    <row r="789" spans="1:5" x14ac:dyDescent="0.3">
      <c r="A789" s="2" t="s">
        <v>29</v>
      </c>
      <c r="B789" s="3" t="s">
        <v>37</v>
      </c>
      <c r="C789" s="3" t="s">
        <v>7</v>
      </c>
      <c r="D789" s="4">
        <v>46424</v>
      </c>
      <c r="E789" s="4">
        <v>11255</v>
      </c>
    </row>
    <row r="790" spans="1:5" x14ac:dyDescent="0.3">
      <c r="A790" s="2" t="s">
        <v>29</v>
      </c>
      <c r="B790" s="3" t="s">
        <v>37</v>
      </c>
      <c r="C790" s="3" t="s">
        <v>8</v>
      </c>
      <c r="D790" s="4">
        <v>49407</v>
      </c>
      <c r="E790" s="4">
        <v>9790</v>
      </c>
    </row>
    <row r="791" spans="1:5" x14ac:dyDescent="0.3">
      <c r="A791" s="2" t="s">
        <v>29</v>
      </c>
      <c r="B791" s="3" t="s">
        <v>37</v>
      </c>
      <c r="C791" s="3" t="s">
        <v>9</v>
      </c>
      <c r="D791" s="4">
        <v>53924</v>
      </c>
      <c r="E791" s="4">
        <v>11014</v>
      </c>
    </row>
    <row r="792" spans="1:5" x14ac:dyDescent="0.3">
      <c r="A792" s="2" t="s">
        <v>29</v>
      </c>
      <c r="B792" s="3" t="s">
        <v>37</v>
      </c>
      <c r="C792" s="3" t="s">
        <v>10</v>
      </c>
      <c r="D792" s="4">
        <v>53841</v>
      </c>
      <c r="E792" s="4">
        <v>8548</v>
      </c>
    </row>
    <row r="793" spans="1:5" x14ac:dyDescent="0.3">
      <c r="A793" s="2" t="s">
        <v>29</v>
      </c>
      <c r="B793" s="3" t="s">
        <v>37</v>
      </c>
      <c r="C793" s="3" t="s">
        <v>11</v>
      </c>
      <c r="D793" s="4">
        <v>54127</v>
      </c>
      <c r="E793" s="4">
        <v>8969</v>
      </c>
    </row>
    <row r="794" spans="1:5" x14ac:dyDescent="0.3">
      <c r="A794" s="2" t="s">
        <v>29</v>
      </c>
      <c r="B794" s="3" t="s">
        <v>37</v>
      </c>
      <c r="C794" s="3" t="s">
        <v>12</v>
      </c>
      <c r="D794" s="4">
        <v>54298</v>
      </c>
      <c r="E794" s="4">
        <v>10476</v>
      </c>
    </row>
    <row r="795" spans="1:5" x14ac:dyDescent="0.3">
      <c r="A795" s="2" t="s">
        <v>29</v>
      </c>
      <c r="B795" s="3" t="s">
        <v>37</v>
      </c>
      <c r="C795" s="3" t="s">
        <v>13</v>
      </c>
      <c r="D795" s="4">
        <v>53553</v>
      </c>
      <c r="E795" s="4">
        <v>19584</v>
      </c>
    </row>
    <row r="796" spans="1:5" x14ac:dyDescent="0.3">
      <c r="A796" s="2" t="s">
        <v>29</v>
      </c>
      <c r="B796" s="3" t="s">
        <v>38</v>
      </c>
      <c r="C796" s="3" t="s">
        <v>2</v>
      </c>
      <c r="D796" s="4">
        <v>54635</v>
      </c>
      <c r="E796" s="4">
        <v>8804</v>
      </c>
    </row>
    <row r="797" spans="1:5" x14ac:dyDescent="0.3">
      <c r="A797" s="2" t="s">
        <v>29</v>
      </c>
      <c r="B797" s="3" t="s">
        <v>38</v>
      </c>
      <c r="C797" s="3" t="s">
        <v>3</v>
      </c>
      <c r="D797" s="4">
        <v>53681</v>
      </c>
      <c r="E797" s="4">
        <v>7416</v>
      </c>
    </row>
    <row r="798" spans="1:5" x14ac:dyDescent="0.3">
      <c r="A798" s="2" t="s">
        <v>29</v>
      </c>
      <c r="B798" s="3" t="s">
        <v>38</v>
      </c>
      <c r="C798" s="3" t="s">
        <v>4</v>
      </c>
      <c r="D798" s="4">
        <v>53285</v>
      </c>
      <c r="E798" s="4">
        <v>9146</v>
      </c>
    </row>
    <row r="799" spans="1:5" x14ac:dyDescent="0.3">
      <c r="A799" s="2" t="s">
        <v>29</v>
      </c>
      <c r="B799" s="3" t="s">
        <v>38</v>
      </c>
      <c r="C799" s="3" t="s">
        <v>5</v>
      </c>
      <c r="D799" s="4">
        <v>58893</v>
      </c>
      <c r="E799" s="4">
        <v>10048</v>
      </c>
    </row>
    <row r="800" spans="1:5" x14ac:dyDescent="0.3">
      <c r="A800" s="2" t="s">
        <v>29</v>
      </c>
      <c r="B800" s="3" t="s">
        <v>38</v>
      </c>
      <c r="C800" s="3" t="s">
        <v>6</v>
      </c>
      <c r="D800" s="4">
        <v>59556</v>
      </c>
      <c r="E800" s="4">
        <v>10889</v>
      </c>
    </row>
    <row r="801" spans="1:5" x14ac:dyDescent="0.3">
      <c r="A801" s="2" t="s">
        <v>29</v>
      </c>
      <c r="B801" s="3" t="s">
        <v>38</v>
      </c>
      <c r="C801" s="3" t="s">
        <v>7</v>
      </c>
      <c r="D801" s="4">
        <v>61678</v>
      </c>
      <c r="E801" s="4">
        <v>10404</v>
      </c>
    </row>
    <row r="802" spans="1:5" x14ac:dyDescent="0.3">
      <c r="A802" s="2" t="s">
        <v>29</v>
      </c>
      <c r="B802" s="3" t="s">
        <v>38</v>
      </c>
      <c r="C802" s="3" t="s">
        <v>8</v>
      </c>
      <c r="D802" s="4">
        <v>62715</v>
      </c>
      <c r="E802" s="4">
        <v>11484</v>
      </c>
    </row>
    <row r="803" spans="1:5" x14ac:dyDescent="0.3">
      <c r="A803" s="2" t="s">
        <v>29</v>
      </c>
      <c r="B803" s="3" t="s">
        <v>38</v>
      </c>
      <c r="C803" s="3" t="s">
        <v>9</v>
      </c>
      <c r="D803" s="4">
        <v>61872</v>
      </c>
      <c r="E803" s="4">
        <v>13228</v>
      </c>
    </row>
    <row r="804" spans="1:5" x14ac:dyDescent="0.3">
      <c r="A804" s="2" t="s">
        <v>29</v>
      </c>
      <c r="B804" s="3" t="s">
        <v>38</v>
      </c>
      <c r="C804" s="3" t="s">
        <v>10</v>
      </c>
      <c r="D804" s="4">
        <v>56749</v>
      </c>
      <c r="E804" s="4">
        <v>7943</v>
      </c>
    </row>
    <row r="805" spans="1:5" x14ac:dyDescent="0.3">
      <c r="A805" s="2" t="s">
        <v>29</v>
      </c>
      <c r="B805" s="3" t="s">
        <v>38</v>
      </c>
      <c r="C805" s="3" t="s">
        <v>11</v>
      </c>
      <c r="D805" s="4">
        <v>59586</v>
      </c>
      <c r="E805" s="4">
        <v>8866</v>
      </c>
    </row>
    <row r="806" spans="1:5" x14ac:dyDescent="0.3">
      <c r="A806" s="2" t="s">
        <v>29</v>
      </c>
      <c r="B806" s="3" t="s">
        <v>38</v>
      </c>
      <c r="C806" s="3" t="s">
        <v>12</v>
      </c>
      <c r="D806" s="4">
        <v>60880</v>
      </c>
      <c r="E806" s="4">
        <v>12630</v>
      </c>
    </row>
    <row r="807" spans="1:5" x14ac:dyDescent="0.3">
      <c r="A807" s="2" t="s">
        <v>29</v>
      </c>
      <c r="B807" s="3" t="s">
        <v>38</v>
      </c>
      <c r="C807" s="3" t="s">
        <v>13</v>
      </c>
      <c r="D807" s="4">
        <v>58551</v>
      </c>
      <c r="E807" s="4">
        <v>21564</v>
      </c>
    </row>
    <row r="808" spans="1:5" x14ac:dyDescent="0.3">
      <c r="A808" s="2" t="s">
        <v>29</v>
      </c>
      <c r="B808" s="3" t="s">
        <v>36</v>
      </c>
      <c r="C808" s="3" t="s">
        <v>2</v>
      </c>
      <c r="D808" s="4">
        <v>23968</v>
      </c>
      <c r="E808" s="4">
        <v>5794</v>
      </c>
    </row>
    <row r="809" spans="1:5" x14ac:dyDescent="0.3">
      <c r="A809" s="2" t="s">
        <v>29</v>
      </c>
      <c r="B809" s="3" t="s">
        <v>36</v>
      </c>
      <c r="C809" s="3" t="s">
        <v>3</v>
      </c>
      <c r="D809" s="4">
        <v>27805</v>
      </c>
      <c r="E809" s="4">
        <v>5735</v>
      </c>
    </row>
    <row r="810" spans="1:5" x14ac:dyDescent="0.3">
      <c r="A810" s="2" t="s">
        <v>29</v>
      </c>
      <c r="B810" s="3" t="s">
        <v>36</v>
      </c>
      <c r="C810" s="3" t="s">
        <v>4</v>
      </c>
      <c r="D810" s="4">
        <v>33715</v>
      </c>
      <c r="E810" s="4">
        <v>6596</v>
      </c>
    </row>
    <row r="811" spans="1:5" x14ac:dyDescent="0.3">
      <c r="A811" s="2" t="s">
        <v>29</v>
      </c>
      <c r="B811" s="3" t="s">
        <v>36</v>
      </c>
      <c r="C811" s="3" t="s">
        <v>5</v>
      </c>
      <c r="D811" s="4">
        <v>36756</v>
      </c>
      <c r="E811" s="4">
        <v>6666</v>
      </c>
    </row>
    <row r="812" spans="1:5" x14ac:dyDescent="0.3">
      <c r="A812" s="2" t="s">
        <v>29</v>
      </c>
      <c r="B812" s="3" t="s">
        <v>36</v>
      </c>
      <c r="C812" s="3" t="s">
        <v>6</v>
      </c>
      <c r="D812" s="4">
        <v>35962</v>
      </c>
      <c r="E812" s="4">
        <v>6478</v>
      </c>
    </row>
    <row r="813" spans="1:5" x14ac:dyDescent="0.3">
      <c r="A813" s="2" t="s">
        <v>29</v>
      </c>
      <c r="B813" s="3" t="s">
        <v>36</v>
      </c>
      <c r="C813" s="3" t="s">
        <v>7</v>
      </c>
      <c r="D813" s="4">
        <v>35152</v>
      </c>
      <c r="E813" s="4">
        <v>6349</v>
      </c>
    </row>
    <row r="814" spans="1:5" x14ac:dyDescent="0.3">
      <c r="A814" s="2" t="s">
        <v>29</v>
      </c>
      <c r="B814" s="3" t="s">
        <v>36</v>
      </c>
      <c r="C814" s="3" t="s">
        <v>8</v>
      </c>
      <c r="D814" s="4">
        <v>33383</v>
      </c>
      <c r="E814" s="4">
        <v>6616</v>
      </c>
    </row>
    <row r="815" spans="1:5" x14ac:dyDescent="0.3">
      <c r="A815" s="2" t="s">
        <v>29</v>
      </c>
      <c r="B815" s="3" t="s">
        <v>36</v>
      </c>
      <c r="C815" s="3" t="s">
        <v>9</v>
      </c>
      <c r="D815" s="4">
        <v>32438</v>
      </c>
      <c r="E815" s="4">
        <v>7943</v>
      </c>
    </row>
    <row r="816" spans="1:5" x14ac:dyDescent="0.3">
      <c r="A816" s="2" t="s">
        <v>29</v>
      </c>
      <c r="B816" s="3" t="s">
        <v>36</v>
      </c>
      <c r="C816" s="3" t="s">
        <v>10</v>
      </c>
      <c r="D816" s="4">
        <v>29510</v>
      </c>
      <c r="E816" s="4">
        <v>5101</v>
      </c>
    </row>
    <row r="817" spans="1:5" x14ac:dyDescent="0.3">
      <c r="A817" s="2" t="s">
        <v>29</v>
      </c>
      <c r="B817" s="3" t="s">
        <v>36</v>
      </c>
      <c r="C817" s="3" t="s">
        <v>11</v>
      </c>
      <c r="D817" s="4">
        <v>34360</v>
      </c>
      <c r="E817" s="4">
        <v>5567</v>
      </c>
    </row>
    <row r="818" spans="1:5" x14ac:dyDescent="0.3">
      <c r="A818" s="2" t="s">
        <v>29</v>
      </c>
      <c r="B818" s="3" t="s">
        <v>36</v>
      </c>
      <c r="C818" s="3" t="s">
        <v>12</v>
      </c>
      <c r="D818" s="4">
        <v>37932</v>
      </c>
      <c r="E818" s="4">
        <v>8118</v>
      </c>
    </row>
    <row r="819" spans="1:5" x14ac:dyDescent="0.3">
      <c r="A819" s="2" t="s">
        <v>29</v>
      </c>
      <c r="B819" s="3" t="s">
        <v>36</v>
      </c>
      <c r="C819" s="3" t="s">
        <v>13</v>
      </c>
      <c r="D819" s="4">
        <v>33837</v>
      </c>
      <c r="E819" s="4">
        <v>15836</v>
      </c>
    </row>
    <row r="820" spans="1:5" x14ac:dyDescent="0.3">
      <c r="A820" s="2" t="s">
        <v>29</v>
      </c>
      <c r="B820" s="3" t="s">
        <v>35</v>
      </c>
      <c r="C820" s="3" t="s">
        <v>2</v>
      </c>
      <c r="D820" s="4">
        <v>55541</v>
      </c>
      <c r="E820" s="4">
        <v>12583</v>
      </c>
    </row>
    <row r="821" spans="1:5" x14ac:dyDescent="0.3">
      <c r="A821" s="2" t="s">
        <v>29</v>
      </c>
      <c r="B821" s="3" t="s">
        <v>35</v>
      </c>
      <c r="C821" s="3" t="s">
        <v>3</v>
      </c>
      <c r="D821" s="4">
        <v>66349</v>
      </c>
      <c r="E821" s="4">
        <v>10405</v>
      </c>
    </row>
    <row r="822" spans="1:5" x14ac:dyDescent="0.3">
      <c r="A822" s="2" t="s">
        <v>29</v>
      </c>
      <c r="B822" s="3" t="s">
        <v>35</v>
      </c>
      <c r="C822" s="3" t="s">
        <v>4</v>
      </c>
      <c r="D822" s="4">
        <v>75295</v>
      </c>
      <c r="E822" s="4">
        <v>11393</v>
      </c>
    </row>
    <row r="823" spans="1:5" x14ac:dyDescent="0.3">
      <c r="A823" s="2" t="s">
        <v>29</v>
      </c>
      <c r="B823" s="3" t="s">
        <v>35</v>
      </c>
      <c r="C823" s="3" t="s">
        <v>5</v>
      </c>
      <c r="D823" s="4">
        <v>100424</v>
      </c>
      <c r="E823" s="4">
        <v>13408</v>
      </c>
    </row>
    <row r="824" spans="1:5" x14ac:dyDescent="0.3">
      <c r="A824" s="2" t="s">
        <v>29</v>
      </c>
      <c r="B824" s="3" t="s">
        <v>35</v>
      </c>
      <c r="C824" s="3" t="s">
        <v>6</v>
      </c>
      <c r="D824" s="4">
        <v>104856</v>
      </c>
      <c r="E824" s="4">
        <v>13502</v>
      </c>
    </row>
    <row r="825" spans="1:5" x14ac:dyDescent="0.3">
      <c r="A825" s="2" t="s">
        <v>29</v>
      </c>
      <c r="B825" s="3" t="s">
        <v>35</v>
      </c>
      <c r="C825" s="3" t="s">
        <v>7</v>
      </c>
      <c r="D825" s="4">
        <v>99823</v>
      </c>
      <c r="E825" s="4">
        <v>13101</v>
      </c>
    </row>
    <row r="826" spans="1:5" x14ac:dyDescent="0.3">
      <c r="A826" s="2" t="s">
        <v>29</v>
      </c>
      <c r="B826" s="3" t="s">
        <v>35</v>
      </c>
      <c r="C826" s="3" t="s">
        <v>8</v>
      </c>
      <c r="D826" s="4">
        <v>93333</v>
      </c>
      <c r="E826" s="4">
        <v>12103</v>
      </c>
    </row>
    <row r="827" spans="1:5" x14ac:dyDescent="0.3">
      <c r="A827" s="2" t="s">
        <v>29</v>
      </c>
      <c r="B827" s="3" t="s">
        <v>35</v>
      </c>
      <c r="C827" s="3" t="s">
        <v>9</v>
      </c>
      <c r="D827" s="4">
        <v>94207</v>
      </c>
      <c r="E827" s="4">
        <v>10499</v>
      </c>
    </row>
    <row r="828" spans="1:5" x14ac:dyDescent="0.3">
      <c r="A828" s="2" t="s">
        <v>29</v>
      </c>
      <c r="B828" s="3" t="s">
        <v>35</v>
      </c>
      <c r="C828" s="3" t="s">
        <v>10</v>
      </c>
      <c r="D828" s="4">
        <v>109411</v>
      </c>
      <c r="E828" s="4">
        <v>9713</v>
      </c>
    </row>
    <row r="829" spans="1:5" x14ac:dyDescent="0.3">
      <c r="A829" s="2" t="s">
        <v>29</v>
      </c>
      <c r="B829" s="3" t="s">
        <v>35</v>
      </c>
      <c r="C829" s="3" t="s">
        <v>11</v>
      </c>
      <c r="D829" s="4">
        <v>117951</v>
      </c>
      <c r="E829" s="4">
        <v>13475</v>
      </c>
    </row>
    <row r="830" spans="1:5" x14ac:dyDescent="0.3">
      <c r="A830" s="2" t="s">
        <v>29</v>
      </c>
      <c r="B830" s="3" t="s">
        <v>35</v>
      </c>
      <c r="C830" s="3" t="s">
        <v>12</v>
      </c>
      <c r="D830" s="4">
        <v>125624</v>
      </c>
      <c r="E830" s="4">
        <v>22746</v>
      </c>
    </row>
    <row r="831" spans="1:5" x14ac:dyDescent="0.3">
      <c r="A831" s="2" t="s">
        <v>29</v>
      </c>
      <c r="B831" s="3" t="s">
        <v>35</v>
      </c>
      <c r="C831" s="3" t="s">
        <v>13</v>
      </c>
      <c r="D831" s="4">
        <v>114586</v>
      </c>
      <c r="E831" s="4">
        <v>46335</v>
      </c>
    </row>
    <row r="832" spans="1:5" x14ac:dyDescent="0.3">
      <c r="A832" s="2" t="s">
        <v>29</v>
      </c>
      <c r="B832" s="3" t="s">
        <v>34</v>
      </c>
      <c r="C832" s="3" t="s">
        <v>2</v>
      </c>
      <c r="D832" s="4">
        <v>2005</v>
      </c>
      <c r="E832" s="4">
        <v>167</v>
      </c>
    </row>
    <row r="833" spans="1:5" x14ac:dyDescent="0.3">
      <c r="A833" s="2" t="s">
        <v>29</v>
      </c>
      <c r="B833" s="3" t="s">
        <v>34</v>
      </c>
      <c r="C833" s="3" t="s">
        <v>3</v>
      </c>
      <c r="D833" s="4">
        <v>1896</v>
      </c>
      <c r="E833" s="4">
        <v>153</v>
      </c>
    </row>
    <row r="834" spans="1:5" x14ac:dyDescent="0.3">
      <c r="A834" s="2" t="s">
        <v>29</v>
      </c>
      <c r="B834" s="3" t="s">
        <v>34</v>
      </c>
      <c r="C834" s="3" t="s">
        <v>4</v>
      </c>
      <c r="D834" s="4">
        <v>1795</v>
      </c>
      <c r="E834" s="4">
        <v>152</v>
      </c>
    </row>
    <row r="835" spans="1:5" x14ac:dyDescent="0.3">
      <c r="A835" s="2" t="s">
        <v>29</v>
      </c>
      <c r="B835" s="3" t="s">
        <v>34</v>
      </c>
      <c r="C835" s="3" t="s">
        <v>5</v>
      </c>
      <c r="D835" s="4">
        <v>1770</v>
      </c>
      <c r="E835" s="4">
        <v>138</v>
      </c>
    </row>
    <row r="836" spans="1:5" x14ac:dyDescent="0.3">
      <c r="A836" s="2" t="s">
        <v>29</v>
      </c>
      <c r="B836" s="3" t="s">
        <v>34</v>
      </c>
      <c r="C836" s="3" t="s">
        <v>6</v>
      </c>
      <c r="D836" s="4">
        <v>1753</v>
      </c>
      <c r="E836" s="4">
        <v>169</v>
      </c>
    </row>
    <row r="837" spans="1:5" x14ac:dyDescent="0.3">
      <c r="A837" s="2" t="s">
        <v>29</v>
      </c>
      <c r="B837" s="3" t="s">
        <v>34</v>
      </c>
      <c r="C837" s="3" t="s">
        <v>7</v>
      </c>
      <c r="D837" s="4">
        <v>3488</v>
      </c>
      <c r="E837" s="4">
        <v>315</v>
      </c>
    </row>
    <row r="838" spans="1:5" x14ac:dyDescent="0.3">
      <c r="A838" s="2" t="s">
        <v>29</v>
      </c>
      <c r="B838" s="3" t="s">
        <v>34</v>
      </c>
      <c r="C838" s="3" t="s">
        <v>8</v>
      </c>
      <c r="D838" s="4">
        <v>5130</v>
      </c>
      <c r="E838" s="4">
        <v>975</v>
      </c>
    </row>
    <row r="839" spans="1:5" x14ac:dyDescent="0.3">
      <c r="A839" s="2" t="s">
        <v>29</v>
      </c>
      <c r="B839" s="3" t="s">
        <v>34</v>
      </c>
      <c r="C839" s="3" t="s">
        <v>9</v>
      </c>
      <c r="D839" s="4">
        <v>5152</v>
      </c>
      <c r="E839" s="4">
        <v>2332</v>
      </c>
    </row>
    <row r="840" spans="1:5" x14ac:dyDescent="0.3">
      <c r="A840" s="2" t="s">
        <v>29</v>
      </c>
      <c r="B840" s="3" t="s">
        <v>34</v>
      </c>
      <c r="C840" s="3" t="s">
        <v>10</v>
      </c>
      <c r="D840" s="4">
        <v>3022</v>
      </c>
      <c r="E840" s="4">
        <v>341</v>
      </c>
    </row>
    <row r="841" spans="1:5" x14ac:dyDescent="0.3">
      <c r="A841" s="2" t="s">
        <v>29</v>
      </c>
      <c r="B841" s="3" t="s">
        <v>34</v>
      </c>
      <c r="C841" s="3" t="s">
        <v>11</v>
      </c>
      <c r="D841" s="4">
        <v>3608</v>
      </c>
      <c r="E841" s="4">
        <v>355</v>
      </c>
    </row>
    <row r="842" spans="1:5" x14ac:dyDescent="0.3">
      <c r="A842" s="2" t="s">
        <v>29</v>
      </c>
      <c r="B842" s="3" t="s">
        <v>34</v>
      </c>
      <c r="C842" s="3" t="s">
        <v>12</v>
      </c>
      <c r="D842" s="4">
        <v>3610</v>
      </c>
      <c r="E842" s="4">
        <v>545</v>
      </c>
    </row>
    <row r="843" spans="1:5" x14ac:dyDescent="0.3">
      <c r="A843" s="2" t="s">
        <v>29</v>
      </c>
      <c r="B843" s="3" t="s">
        <v>34</v>
      </c>
      <c r="C843" s="3" t="s">
        <v>13</v>
      </c>
      <c r="D843" s="4">
        <v>3122</v>
      </c>
      <c r="E843" s="4">
        <v>497</v>
      </c>
    </row>
    <row r="844" spans="1:5" x14ac:dyDescent="0.3">
      <c r="A844" s="2" t="s">
        <v>30</v>
      </c>
      <c r="B844" s="3" t="s">
        <v>37</v>
      </c>
      <c r="C844" s="3" t="s">
        <v>2</v>
      </c>
      <c r="D844" s="4">
        <v>101792</v>
      </c>
      <c r="E844" s="4">
        <v>54038</v>
      </c>
    </row>
    <row r="845" spans="1:5" x14ac:dyDescent="0.3">
      <c r="A845" s="2" t="s">
        <v>30</v>
      </c>
      <c r="B845" s="3" t="s">
        <v>37</v>
      </c>
      <c r="C845" s="3" t="s">
        <v>3</v>
      </c>
      <c r="D845" s="4">
        <v>106945</v>
      </c>
      <c r="E845" s="4">
        <v>58998</v>
      </c>
    </row>
    <row r="846" spans="1:5" x14ac:dyDescent="0.3">
      <c r="A846" s="2" t="s">
        <v>30</v>
      </c>
      <c r="B846" s="3" t="s">
        <v>37</v>
      </c>
      <c r="C846" s="3" t="s">
        <v>4</v>
      </c>
      <c r="D846" s="4">
        <v>131424</v>
      </c>
      <c r="E846" s="4">
        <v>75218</v>
      </c>
    </row>
    <row r="847" spans="1:5" x14ac:dyDescent="0.3">
      <c r="A847" s="2" t="s">
        <v>30</v>
      </c>
      <c r="B847" s="3" t="s">
        <v>37</v>
      </c>
      <c r="C847" s="3" t="s">
        <v>5</v>
      </c>
      <c r="D847" s="4">
        <v>137313</v>
      </c>
      <c r="E847" s="4">
        <v>64331</v>
      </c>
    </row>
    <row r="848" spans="1:5" x14ac:dyDescent="0.3">
      <c r="A848" s="2" t="s">
        <v>30</v>
      </c>
      <c r="B848" s="3" t="s">
        <v>37</v>
      </c>
      <c r="C848" s="3" t="s">
        <v>6</v>
      </c>
      <c r="D848" s="4">
        <v>133986</v>
      </c>
      <c r="E848" s="4">
        <v>67155</v>
      </c>
    </row>
    <row r="849" spans="1:5" x14ac:dyDescent="0.3">
      <c r="A849" s="2" t="s">
        <v>30</v>
      </c>
      <c r="B849" s="3" t="s">
        <v>37</v>
      </c>
      <c r="C849" s="3" t="s">
        <v>7</v>
      </c>
      <c r="D849" s="4">
        <v>151040</v>
      </c>
      <c r="E849" s="4">
        <v>71510</v>
      </c>
    </row>
    <row r="850" spans="1:5" x14ac:dyDescent="0.3">
      <c r="A850" s="2" t="s">
        <v>30</v>
      </c>
      <c r="B850" s="3" t="s">
        <v>37</v>
      </c>
      <c r="C850" s="3" t="s">
        <v>8</v>
      </c>
      <c r="D850" s="4">
        <v>141191</v>
      </c>
      <c r="E850" s="4">
        <v>65704</v>
      </c>
    </row>
    <row r="851" spans="1:5" x14ac:dyDescent="0.3">
      <c r="A851" s="2" t="s">
        <v>30</v>
      </c>
      <c r="B851" s="3" t="s">
        <v>37</v>
      </c>
      <c r="C851" s="3" t="s">
        <v>9</v>
      </c>
      <c r="D851" s="4">
        <v>146783</v>
      </c>
      <c r="E851" s="4">
        <v>75709</v>
      </c>
    </row>
    <row r="852" spans="1:5" x14ac:dyDescent="0.3">
      <c r="A852" s="2" t="s">
        <v>30</v>
      </c>
      <c r="B852" s="3" t="s">
        <v>37</v>
      </c>
      <c r="C852" s="3" t="s">
        <v>10</v>
      </c>
      <c r="D852" s="4">
        <v>156720</v>
      </c>
      <c r="E852" s="4">
        <v>64458</v>
      </c>
    </row>
    <row r="853" spans="1:5" x14ac:dyDescent="0.3">
      <c r="A853" s="2" t="s">
        <v>30</v>
      </c>
      <c r="B853" s="3" t="s">
        <v>37</v>
      </c>
      <c r="C853" s="3" t="s">
        <v>11</v>
      </c>
      <c r="D853" s="4">
        <v>142208</v>
      </c>
      <c r="E853" s="4">
        <v>61463</v>
      </c>
    </row>
    <row r="854" spans="1:5" x14ac:dyDescent="0.3">
      <c r="A854" s="2" t="s">
        <v>30</v>
      </c>
      <c r="B854" s="3" t="s">
        <v>37</v>
      </c>
      <c r="C854" s="3" t="s">
        <v>12</v>
      </c>
      <c r="D854" s="4">
        <v>137287</v>
      </c>
      <c r="E854" s="4">
        <v>64814</v>
      </c>
    </row>
    <row r="855" spans="1:5" x14ac:dyDescent="0.3">
      <c r="A855" s="2" t="s">
        <v>30</v>
      </c>
      <c r="B855" s="3" t="s">
        <v>37</v>
      </c>
      <c r="C855" s="3" t="s">
        <v>13</v>
      </c>
      <c r="D855" s="4">
        <v>153394</v>
      </c>
      <c r="E855" s="4">
        <v>88868</v>
      </c>
    </row>
    <row r="856" spans="1:5" x14ac:dyDescent="0.3">
      <c r="A856" s="2" t="s">
        <v>30</v>
      </c>
      <c r="B856" s="3" t="s">
        <v>38</v>
      </c>
      <c r="C856" s="3" t="s">
        <v>2</v>
      </c>
      <c r="D856" s="4">
        <v>132068</v>
      </c>
      <c r="E856" s="4">
        <v>57266</v>
      </c>
    </row>
    <row r="857" spans="1:5" x14ac:dyDescent="0.3">
      <c r="A857" s="2" t="s">
        <v>30</v>
      </c>
      <c r="B857" s="3" t="s">
        <v>38</v>
      </c>
      <c r="C857" s="3" t="s">
        <v>3</v>
      </c>
      <c r="D857" s="4">
        <v>138897</v>
      </c>
      <c r="E857" s="4">
        <v>60013</v>
      </c>
    </row>
    <row r="858" spans="1:5" x14ac:dyDescent="0.3">
      <c r="A858" s="2" t="s">
        <v>30</v>
      </c>
      <c r="B858" s="3" t="s">
        <v>38</v>
      </c>
      <c r="C858" s="3" t="s">
        <v>4</v>
      </c>
      <c r="D858" s="4">
        <v>151780</v>
      </c>
      <c r="E858" s="4">
        <v>76607</v>
      </c>
    </row>
    <row r="859" spans="1:5" x14ac:dyDescent="0.3">
      <c r="A859" s="2" t="s">
        <v>30</v>
      </c>
      <c r="B859" s="3" t="s">
        <v>38</v>
      </c>
      <c r="C859" s="3" t="s">
        <v>5</v>
      </c>
      <c r="D859" s="4">
        <v>158231</v>
      </c>
      <c r="E859" s="4">
        <v>67385</v>
      </c>
    </row>
    <row r="860" spans="1:5" x14ac:dyDescent="0.3">
      <c r="A860" s="2" t="s">
        <v>30</v>
      </c>
      <c r="B860" s="3" t="s">
        <v>38</v>
      </c>
      <c r="C860" s="3" t="s">
        <v>6</v>
      </c>
      <c r="D860" s="4">
        <v>146483</v>
      </c>
      <c r="E860" s="4">
        <v>69963</v>
      </c>
    </row>
    <row r="861" spans="1:5" x14ac:dyDescent="0.3">
      <c r="A861" s="2" t="s">
        <v>30</v>
      </c>
      <c r="B861" s="3" t="s">
        <v>38</v>
      </c>
      <c r="C861" s="3" t="s">
        <v>7</v>
      </c>
      <c r="D861" s="4">
        <v>143416</v>
      </c>
      <c r="E861" s="4">
        <v>60865</v>
      </c>
    </row>
    <row r="862" spans="1:5" x14ac:dyDescent="0.3">
      <c r="A862" s="2" t="s">
        <v>30</v>
      </c>
      <c r="B862" s="3" t="s">
        <v>38</v>
      </c>
      <c r="C862" s="3" t="s">
        <v>8</v>
      </c>
      <c r="D862" s="4">
        <v>148152</v>
      </c>
      <c r="E862" s="4">
        <v>78785</v>
      </c>
    </row>
    <row r="863" spans="1:5" x14ac:dyDescent="0.3">
      <c r="A863" s="2" t="s">
        <v>30</v>
      </c>
      <c r="B863" s="3" t="s">
        <v>38</v>
      </c>
      <c r="C863" s="3" t="s">
        <v>9</v>
      </c>
      <c r="D863" s="4">
        <v>172780</v>
      </c>
      <c r="E863" s="4">
        <v>86613</v>
      </c>
    </row>
    <row r="864" spans="1:5" x14ac:dyDescent="0.3">
      <c r="A864" s="2" t="s">
        <v>30</v>
      </c>
      <c r="B864" s="3" t="s">
        <v>38</v>
      </c>
      <c r="C864" s="3" t="s">
        <v>10</v>
      </c>
      <c r="D864" s="4">
        <v>159901</v>
      </c>
      <c r="E864" s="4">
        <v>62285</v>
      </c>
    </row>
    <row r="865" spans="1:5" x14ac:dyDescent="0.3">
      <c r="A865" s="2" t="s">
        <v>30</v>
      </c>
      <c r="B865" s="3" t="s">
        <v>38</v>
      </c>
      <c r="C865" s="3" t="s">
        <v>11</v>
      </c>
      <c r="D865" s="4">
        <v>169050</v>
      </c>
      <c r="E865" s="4">
        <v>63673</v>
      </c>
    </row>
    <row r="866" spans="1:5" x14ac:dyDescent="0.3">
      <c r="A866" s="2" t="s">
        <v>30</v>
      </c>
      <c r="B866" s="3" t="s">
        <v>38</v>
      </c>
      <c r="C866" s="3" t="s">
        <v>12</v>
      </c>
      <c r="D866" s="4">
        <v>169944</v>
      </c>
      <c r="E866" s="4">
        <v>72144</v>
      </c>
    </row>
    <row r="867" spans="1:5" x14ac:dyDescent="0.3">
      <c r="A867" s="2" t="s">
        <v>30</v>
      </c>
      <c r="B867" s="3" t="s">
        <v>38</v>
      </c>
      <c r="C867" s="3" t="s">
        <v>13</v>
      </c>
      <c r="D867" s="4">
        <v>169981</v>
      </c>
      <c r="E867" s="4">
        <v>105955</v>
      </c>
    </row>
    <row r="868" spans="1:5" x14ac:dyDescent="0.3">
      <c r="A868" s="2" t="s">
        <v>30</v>
      </c>
      <c r="B868" s="3" t="s">
        <v>36</v>
      </c>
      <c r="C868" s="3" t="s">
        <v>2</v>
      </c>
      <c r="D868" s="4">
        <v>35661</v>
      </c>
      <c r="E868" s="4">
        <v>17454</v>
      </c>
    </row>
    <row r="869" spans="1:5" x14ac:dyDescent="0.3">
      <c r="A869" s="2" t="s">
        <v>30</v>
      </c>
      <c r="B869" s="3" t="s">
        <v>36</v>
      </c>
      <c r="C869" s="3" t="s">
        <v>3</v>
      </c>
      <c r="D869" s="4">
        <v>32543</v>
      </c>
      <c r="E869" s="4">
        <v>14202</v>
      </c>
    </row>
    <row r="870" spans="1:5" x14ac:dyDescent="0.3">
      <c r="A870" s="2" t="s">
        <v>30</v>
      </c>
      <c r="B870" s="3" t="s">
        <v>36</v>
      </c>
      <c r="C870" s="3" t="s">
        <v>4</v>
      </c>
      <c r="D870" s="4">
        <v>44681</v>
      </c>
      <c r="E870" s="4">
        <v>16821</v>
      </c>
    </row>
    <row r="871" spans="1:5" x14ac:dyDescent="0.3">
      <c r="A871" s="2" t="s">
        <v>30</v>
      </c>
      <c r="B871" s="3" t="s">
        <v>36</v>
      </c>
      <c r="C871" s="3" t="s">
        <v>5</v>
      </c>
      <c r="D871" s="4">
        <v>51176</v>
      </c>
      <c r="E871" s="4">
        <v>17506</v>
      </c>
    </row>
    <row r="872" spans="1:5" x14ac:dyDescent="0.3">
      <c r="A872" s="2" t="s">
        <v>30</v>
      </c>
      <c r="B872" s="3" t="s">
        <v>36</v>
      </c>
      <c r="C872" s="3" t="s">
        <v>6</v>
      </c>
      <c r="D872" s="4">
        <v>49146</v>
      </c>
      <c r="E872" s="4">
        <v>19627</v>
      </c>
    </row>
    <row r="873" spans="1:5" x14ac:dyDescent="0.3">
      <c r="A873" s="2" t="s">
        <v>30</v>
      </c>
      <c r="B873" s="3" t="s">
        <v>36</v>
      </c>
      <c r="C873" s="3" t="s">
        <v>7</v>
      </c>
      <c r="D873" s="4">
        <v>46323</v>
      </c>
      <c r="E873" s="4">
        <v>19036</v>
      </c>
    </row>
    <row r="874" spans="1:5" x14ac:dyDescent="0.3">
      <c r="A874" s="2" t="s">
        <v>30</v>
      </c>
      <c r="B874" s="3" t="s">
        <v>36</v>
      </c>
      <c r="C874" s="3" t="s">
        <v>8</v>
      </c>
      <c r="D874" s="4">
        <v>41732</v>
      </c>
      <c r="E874" s="4">
        <v>19379</v>
      </c>
    </row>
    <row r="875" spans="1:5" x14ac:dyDescent="0.3">
      <c r="A875" s="2" t="s">
        <v>30</v>
      </c>
      <c r="B875" s="3" t="s">
        <v>36</v>
      </c>
      <c r="C875" s="3" t="s">
        <v>9</v>
      </c>
      <c r="D875" s="4">
        <v>36271</v>
      </c>
      <c r="E875" s="4">
        <v>18684</v>
      </c>
    </row>
    <row r="876" spans="1:5" x14ac:dyDescent="0.3">
      <c r="A876" s="2" t="s">
        <v>30</v>
      </c>
      <c r="B876" s="3" t="s">
        <v>36</v>
      </c>
      <c r="C876" s="3" t="s">
        <v>10</v>
      </c>
      <c r="D876" s="4">
        <v>36324</v>
      </c>
      <c r="E876" s="4">
        <v>13682</v>
      </c>
    </row>
    <row r="877" spans="1:5" x14ac:dyDescent="0.3">
      <c r="A877" s="2" t="s">
        <v>30</v>
      </c>
      <c r="B877" s="3" t="s">
        <v>36</v>
      </c>
      <c r="C877" s="3" t="s">
        <v>11</v>
      </c>
      <c r="D877" s="4">
        <v>45921</v>
      </c>
      <c r="E877" s="4">
        <v>17747</v>
      </c>
    </row>
    <row r="878" spans="1:5" x14ac:dyDescent="0.3">
      <c r="A878" s="2" t="s">
        <v>30</v>
      </c>
      <c r="B878" s="3" t="s">
        <v>36</v>
      </c>
      <c r="C878" s="3" t="s">
        <v>12</v>
      </c>
      <c r="D878" s="4">
        <v>53957</v>
      </c>
      <c r="E878" s="4">
        <v>20752</v>
      </c>
    </row>
    <row r="879" spans="1:5" x14ac:dyDescent="0.3">
      <c r="A879" s="2" t="s">
        <v>30</v>
      </c>
      <c r="B879" s="3" t="s">
        <v>36</v>
      </c>
      <c r="C879" s="3" t="s">
        <v>13</v>
      </c>
      <c r="D879" s="4">
        <v>55549</v>
      </c>
      <c r="E879" s="4">
        <v>32196</v>
      </c>
    </row>
    <row r="880" spans="1:5" x14ac:dyDescent="0.3">
      <c r="A880" s="2" t="s">
        <v>30</v>
      </c>
      <c r="B880" s="3" t="s">
        <v>35</v>
      </c>
      <c r="C880" s="3" t="s">
        <v>2</v>
      </c>
      <c r="D880" s="4">
        <v>153532</v>
      </c>
      <c r="E880" s="4">
        <v>67409</v>
      </c>
    </row>
    <row r="881" spans="1:5" x14ac:dyDescent="0.3">
      <c r="A881" s="2" t="s">
        <v>30</v>
      </c>
      <c r="B881" s="3" t="s">
        <v>35</v>
      </c>
      <c r="C881" s="3" t="s">
        <v>3</v>
      </c>
      <c r="D881" s="4">
        <v>123099</v>
      </c>
      <c r="E881" s="4">
        <v>51096</v>
      </c>
    </row>
    <row r="882" spans="1:5" x14ac:dyDescent="0.3">
      <c r="A882" s="2" t="s">
        <v>30</v>
      </c>
      <c r="B882" s="3" t="s">
        <v>35</v>
      </c>
      <c r="C882" s="3" t="s">
        <v>4</v>
      </c>
      <c r="D882" s="4">
        <v>161783</v>
      </c>
      <c r="E882" s="4">
        <v>73066</v>
      </c>
    </row>
    <row r="883" spans="1:5" x14ac:dyDescent="0.3">
      <c r="A883" s="2" t="s">
        <v>30</v>
      </c>
      <c r="B883" s="3" t="s">
        <v>35</v>
      </c>
      <c r="C883" s="3" t="s">
        <v>5</v>
      </c>
      <c r="D883" s="4">
        <v>245325</v>
      </c>
      <c r="E883" s="4">
        <v>72499</v>
      </c>
    </row>
    <row r="884" spans="1:5" x14ac:dyDescent="0.3">
      <c r="A884" s="2" t="s">
        <v>30</v>
      </c>
      <c r="B884" s="3" t="s">
        <v>35</v>
      </c>
      <c r="C884" s="3" t="s">
        <v>6</v>
      </c>
      <c r="D884" s="4">
        <v>232163</v>
      </c>
      <c r="E884" s="4">
        <v>73776</v>
      </c>
    </row>
    <row r="885" spans="1:5" x14ac:dyDescent="0.3">
      <c r="A885" s="2" t="s">
        <v>30</v>
      </c>
      <c r="B885" s="3" t="s">
        <v>35</v>
      </c>
      <c r="C885" s="3" t="s">
        <v>7</v>
      </c>
      <c r="D885" s="4">
        <v>191457</v>
      </c>
      <c r="E885" s="4">
        <v>63221</v>
      </c>
    </row>
    <row r="886" spans="1:5" x14ac:dyDescent="0.3">
      <c r="A886" s="2" t="s">
        <v>30</v>
      </c>
      <c r="B886" s="3" t="s">
        <v>35</v>
      </c>
      <c r="C886" s="3" t="s">
        <v>8</v>
      </c>
      <c r="D886" s="4">
        <v>185345</v>
      </c>
      <c r="E886" s="4">
        <v>72773</v>
      </c>
    </row>
    <row r="887" spans="1:5" x14ac:dyDescent="0.3">
      <c r="A887" s="2" t="s">
        <v>30</v>
      </c>
      <c r="B887" s="3" t="s">
        <v>35</v>
      </c>
      <c r="C887" s="3" t="s">
        <v>9</v>
      </c>
      <c r="D887" s="4">
        <v>172719</v>
      </c>
      <c r="E887" s="4">
        <v>78926</v>
      </c>
    </row>
    <row r="888" spans="1:5" x14ac:dyDescent="0.3">
      <c r="A888" s="2" t="s">
        <v>30</v>
      </c>
      <c r="B888" s="3" t="s">
        <v>35</v>
      </c>
      <c r="C888" s="3" t="s">
        <v>10</v>
      </c>
      <c r="D888" s="4">
        <v>244039</v>
      </c>
      <c r="E888" s="4">
        <v>78586</v>
      </c>
    </row>
    <row r="889" spans="1:5" x14ac:dyDescent="0.3">
      <c r="A889" s="2" t="s">
        <v>30</v>
      </c>
      <c r="B889" s="3" t="s">
        <v>35</v>
      </c>
      <c r="C889" s="3" t="s">
        <v>11</v>
      </c>
      <c r="D889" s="4">
        <v>242316</v>
      </c>
      <c r="E889" s="4">
        <v>87952</v>
      </c>
    </row>
    <row r="890" spans="1:5" x14ac:dyDescent="0.3">
      <c r="A890" s="2" t="s">
        <v>30</v>
      </c>
      <c r="B890" s="3" t="s">
        <v>35</v>
      </c>
      <c r="C890" s="3" t="s">
        <v>12</v>
      </c>
      <c r="D890" s="4">
        <v>232949</v>
      </c>
      <c r="E890" s="4">
        <v>108724</v>
      </c>
    </row>
    <row r="891" spans="1:5" x14ac:dyDescent="0.3">
      <c r="A891" s="2" t="s">
        <v>30</v>
      </c>
      <c r="B891" s="3" t="s">
        <v>35</v>
      </c>
      <c r="C891" s="3" t="s">
        <v>13</v>
      </c>
      <c r="D891" s="4">
        <v>229943</v>
      </c>
      <c r="E891" s="4">
        <v>189811</v>
      </c>
    </row>
    <row r="892" spans="1:5" x14ac:dyDescent="0.3">
      <c r="A892" s="2" t="s">
        <v>30</v>
      </c>
      <c r="B892" s="3" t="s">
        <v>34</v>
      </c>
      <c r="C892" s="3" t="s">
        <v>2</v>
      </c>
      <c r="D892" s="4">
        <v>3224</v>
      </c>
      <c r="E892" s="4">
        <v>493</v>
      </c>
    </row>
    <row r="893" spans="1:5" x14ac:dyDescent="0.3">
      <c r="A893" s="2" t="s">
        <v>30</v>
      </c>
      <c r="B893" s="3" t="s">
        <v>34</v>
      </c>
      <c r="C893" s="3" t="s">
        <v>3</v>
      </c>
      <c r="D893" s="4">
        <v>3473</v>
      </c>
      <c r="E893" s="4">
        <v>467</v>
      </c>
    </row>
    <row r="894" spans="1:5" x14ac:dyDescent="0.3">
      <c r="A894" s="2" t="s">
        <v>30</v>
      </c>
      <c r="B894" s="3" t="s">
        <v>34</v>
      </c>
      <c r="C894" s="3" t="s">
        <v>4</v>
      </c>
      <c r="D894" s="4">
        <v>3938</v>
      </c>
      <c r="E894" s="4">
        <v>472</v>
      </c>
    </row>
    <row r="895" spans="1:5" x14ac:dyDescent="0.3">
      <c r="A895" s="2" t="s">
        <v>30</v>
      </c>
      <c r="B895" s="3" t="s">
        <v>34</v>
      </c>
      <c r="C895" s="3" t="s">
        <v>5</v>
      </c>
      <c r="D895" s="4">
        <v>3924</v>
      </c>
      <c r="E895" s="4">
        <v>432</v>
      </c>
    </row>
    <row r="896" spans="1:5" x14ac:dyDescent="0.3">
      <c r="A896" s="2" t="s">
        <v>30</v>
      </c>
      <c r="B896" s="3" t="s">
        <v>34</v>
      </c>
      <c r="C896" s="3" t="s">
        <v>6</v>
      </c>
      <c r="D896" s="4">
        <v>3532</v>
      </c>
      <c r="E896" s="4">
        <v>878</v>
      </c>
    </row>
    <row r="897" spans="1:5" x14ac:dyDescent="0.3">
      <c r="A897" s="2" t="s">
        <v>30</v>
      </c>
      <c r="B897" s="3" t="s">
        <v>34</v>
      </c>
      <c r="C897" s="3" t="s">
        <v>7</v>
      </c>
      <c r="D897" s="4">
        <v>14729</v>
      </c>
      <c r="E897" s="4">
        <v>1690</v>
      </c>
    </row>
    <row r="898" spans="1:5" x14ac:dyDescent="0.3">
      <c r="A898" s="2" t="s">
        <v>30</v>
      </c>
      <c r="B898" s="3" t="s">
        <v>34</v>
      </c>
      <c r="C898" s="3" t="s">
        <v>8</v>
      </c>
      <c r="D898" s="4">
        <v>20444</v>
      </c>
      <c r="E898" s="4">
        <v>4600</v>
      </c>
    </row>
    <row r="899" spans="1:5" x14ac:dyDescent="0.3">
      <c r="A899" s="2" t="s">
        <v>30</v>
      </c>
      <c r="B899" s="3" t="s">
        <v>34</v>
      </c>
      <c r="C899" s="3" t="s">
        <v>9</v>
      </c>
      <c r="D899" s="4">
        <v>17778</v>
      </c>
      <c r="E899" s="4">
        <v>10120</v>
      </c>
    </row>
    <row r="900" spans="1:5" x14ac:dyDescent="0.3">
      <c r="A900" s="2" t="s">
        <v>30</v>
      </c>
      <c r="B900" s="3" t="s">
        <v>34</v>
      </c>
      <c r="C900" s="3" t="s">
        <v>10</v>
      </c>
      <c r="D900" s="4">
        <v>8023</v>
      </c>
      <c r="E900" s="4">
        <v>1695</v>
      </c>
    </row>
    <row r="901" spans="1:5" x14ac:dyDescent="0.3">
      <c r="A901" s="2" t="s">
        <v>30</v>
      </c>
      <c r="B901" s="3" t="s">
        <v>34</v>
      </c>
      <c r="C901" s="3" t="s">
        <v>11</v>
      </c>
      <c r="D901" s="4">
        <v>9477</v>
      </c>
      <c r="E901" s="4">
        <v>2018</v>
      </c>
    </row>
    <row r="902" spans="1:5" x14ac:dyDescent="0.3">
      <c r="A902" s="2" t="s">
        <v>30</v>
      </c>
      <c r="B902" s="3" t="s">
        <v>34</v>
      </c>
      <c r="C902" s="3" t="s">
        <v>12</v>
      </c>
      <c r="D902" s="4">
        <v>8135</v>
      </c>
      <c r="E902" s="4">
        <v>2178</v>
      </c>
    </row>
    <row r="903" spans="1:5" x14ac:dyDescent="0.3">
      <c r="A903" s="2" t="s">
        <v>30</v>
      </c>
      <c r="B903" s="3" t="s">
        <v>34</v>
      </c>
      <c r="C903" s="3" t="s">
        <v>13</v>
      </c>
      <c r="D903" s="4">
        <v>6037</v>
      </c>
      <c r="E903" s="4">
        <v>1533</v>
      </c>
    </row>
    <row r="904" spans="1:5" x14ac:dyDescent="0.3">
      <c r="A904" s="2" t="s">
        <v>31</v>
      </c>
      <c r="B904" s="3" t="s">
        <v>37</v>
      </c>
      <c r="C904" s="3" t="s">
        <v>2</v>
      </c>
      <c r="D904" s="4">
        <v>116771</v>
      </c>
      <c r="E904" s="4">
        <v>66217</v>
      </c>
    </row>
    <row r="905" spans="1:5" x14ac:dyDescent="0.3">
      <c r="A905" s="2" t="s">
        <v>31</v>
      </c>
      <c r="B905" s="3" t="s">
        <v>37</v>
      </c>
      <c r="C905" s="3" t="s">
        <v>3</v>
      </c>
      <c r="D905" s="4">
        <v>130538</v>
      </c>
      <c r="E905" s="4">
        <v>73121</v>
      </c>
    </row>
    <row r="906" spans="1:5" x14ac:dyDescent="0.3">
      <c r="A906" s="2" t="s">
        <v>31</v>
      </c>
      <c r="B906" s="3" t="s">
        <v>37</v>
      </c>
      <c r="C906" s="3" t="s">
        <v>4</v>
      </c>
      <c r="D906" s="4">
        <v>160183</v>
      </c>
      <c r="E906" s="4">
        <v>91935</v>
      </c>
    </row>
    <row r="907" spans="1:5" x14ac:dyDescent="0.3">
      <c r="A907" s="2" t="s">
        <v>31</v>
      </c>
      <c r="B907" s="3" t="s">
        <v>37</v>
      </c>
      <c r="C907" s="3" t="s">
        <v>5</v>
      </c>
      <c r="D907" s="4">
        <v>169770</v>
      </c>
      <c r="E907" s="4">
        <v>74903</v>
      </c>
    </row>
    <row r="908" spans="1:5" x14ac:dyDescent="0.3">
      <c r="A908" s="2" t="s">
        <v>31</v>
      </c>
      <c r="B908" s="3" t="s">
        <v>37</v>
      </c>
      <c r="C908" s="3" t="s">
        <v>6</v>
      </c>
      <c r="D908" s="4">
        <v>158030</v>
      </c>
      <c r="E908" s="4">
        <v>84284</v>
      </c>
    </row>
    <row r="909" spans="1:5" x14ac:dyDescent="0.3">
      <c r="A909" s="2" t="s">
        <v>31</v>
      </c>
      <c r="B909" s="3" t="s">
        <v>37</v>
      </c>
      <c r="C909" s="3" t="s">
        <v>7</v>
      </c>
      <c r="D909" s="4">
        <v>177355</v>
      </c>
      <c r="E909" s="4">
        <v>87699</v>
      </c>
    </row>
    <row r="910" spans="1:5" x14ac:dyDescent="0.3">
      <c r="A910" s="2" t="s">
        <v>31</v>
      </c>
      <c r="B910" s="3" t="s">
        <v>37</v>
      </c>
      <c r="C910" s="3" t="s">
        <v>8</v>
      </c>
      <c r="D910" s="4">
        <v>164374</v>
      </c>
      <c r="E910" s="4">
        <v>77070</v>
      </c>
    </row>
    <row r="911" spans="1:5" x14ac:dyDescent="0.3">
      <c r="A911" s="2" t="s">
        <v>31</v>
      </c>
      <c r="B911" s="3" t="s">
        <v>37</v>
      </c>
      <c r="C911" s="3" t="s">
        <v>9</v>
      </c>
      <c r="D911" s="4">
        <v>166717</v>
      </c>
      <c r="E911" s="4">
        <v>95091</v>
      </c>
    </row>
    <row r="912" spans="1:5" x14ac:dyDescent="0.3">
      <c r="A912" s="2" t="s">
        <v>31</v>
      </c>
      <c r="B912" s="3" t="s">
        <v>37</v>
      </c>
      <c r="C912" s="3" t="s">
        <v>10</v>
      </c>
      <c r="D912" s="4">
        <v>181741</v>
      </c>
      <c r="E912" s="4">
        <v>76008</v>
      </c>
    </row>
    <row r="913" spans="1:5" x14ac:dyDescent="0.3">
      <c r="A913" s="2" t="s">
        <v>31</v>
      </c>
      <c r="B913" s="3" t="s">
        <v>37</v>
      </c>
      <c r="C913" s="3" t="s">
        <v>11</v>
      </c>
      <c r="D913" s="4">
        <v>167219</v>
      </c>
      <c r="E913" s="4">
        <v>70377</v>
      </c>
    </row>
    <row r="914" spans="1:5" x14ac:dyDescent="0.3">
      <c r="A914" s="2" t="s">
        <v>31</v>
      </c>
      <c r="B914" s="3" t="s">
        <v>37</v>
      </c>
      <c r="C914" s="3" t="s">
        <v>12</v>
      </c>
      <c r="D914" s="4">
        <v>152058</v>
      </c>
      <c r="E914" s="4">
        <v>75371</v>
      </c>
    </row>
    <row r="915" spans="1:5" x14ac:dyDescent="0.3">
      <c r="A915" s="2" t="s">
        <v>31</v>
      </c>
      <c r="B915" s="3" t="s">
        <v>37</v>
      </c>
      <c r="C915" s="3" t="s">
        <v>13</v>
      </c>
      <c r="D915" s="4">
        <v>177807</v>
      </c>
      <c r="E915" s="4">
        <v>112692</v>
      </c>
    </row>
    <row r="916" spans="1:5" x14ac:dyDescent="0.3">
      <c r="A916" s="2" t="s">
        <v>31</v>
      </c>
      <c r="B916" s="3" t="s">
        <v>38</v>
      </c>
      <c r="C916" s="3" t="s">
        <v>2</v>
      </c>
      <c r="D916" s="4">
        <v>153429</v>
      </c>
      <c r="E916" s="4">
        <v>66037</v>
      </c>
    </row>
    <row r="917" spans="1:5" x14ac:dyDescent="0.3">
      <c r="A917" s="2" t="s">
        <v>31</v>
      </c>
      <c r="B917" s="3" t="s">
        <v>38</v>
      </c>
      <c r="C917" s="3" t="s">
        <v>3</v>
      </c>
      <c r="D917" s="4">
        <v>182031</v>
      </c>
      <c r="E917" s="4">
        <v>75260</v>
      </c>
    </row>
    <row r="918" spans="1:5" x14ac:dyDescent="0.3">
      <c r="A918" s="2" t="s">
        <v>31</v>
      </c>
      <c r="B918" s="3" t="s">
        <v>38</v>
      </c>
      <c r="C918" s="3" t="s">
        <v>4</v>
      </c>
      <c r="D918" s="4">
        <v>218213</v>
      </c>
      <c r="E918" s="4">
        <v>97963</v>
      </c>
    </row>
    <row r="919" spans="1:5" x14ac:dyDescent="0.3">
      <c r="A919" s="2" t="s">
        <v>31</v>
      </c>
      <c r="B919" s="3" t="s">
        <v>38</v>
      </c>
      <c r="C919" s="3" t="s">
        <v>5</v>
      </c>
      <c r="D919" s="4">
        <v>209095</v>
      </c>
      <c r="E919" s="4">
        <v>79501</v>
      </c>
    </row>
    <row r="920" spans="1:5" x14ac:dyDescent="0.3">
      <c r="A920" s="2" t="s">
        <v>31</v>
      </c>
      <c r="B920" s="3" t="s">
        <v>38</v>
      </c>
      <c r="C920" s="3" t="s">
        <v>6</v>
      </c>
      <c r="D920" s="4">
        <v>172266</v>
      </c>
      <c r="E920" s="4">
        <v>78869</v>
      </c>
    </row>
    <row r="921" spans="1:5" x14ac:dyDescent="0.3">
      <c r="A921" s="2" t="s">
        <v>31</v>
      </c>
      <c r="B921" s="3" t="s">
        <v>38</v>
      </c>
      <c r="C921" s="3" t="s">
        <v>7</v>
      </c>
      <c r="D921" s="4">
        <v>161846</v>
      </c>
      <c r="E921" s="4">
        <v>67816</v>
      </c>
    </row>
    <row r="922" spans="1:5" x14ac:dyDescent="0.3">
      <c r="A922" s="2" t="s">
        <v>31</v>
      </c>
      <c r="B922" s="3" t="s">
        <v>38</v>
      </c>
      <c r="C922" s="3" t="s">
        <v>8</v>
      </c>
      <c r="D922" s="4">
        <v>175287</v>
      </c>
      <c r="E922" s="4">
        <v>84253</v>
      </c>
    </row>
    <row r="923" spans="1:5" x14ac:dyDescent="0.3">
      <c r="A923" s="2" t="s">
        <v>31</v>
      </c>
      <c r="B923" s="3" t="s">
        <v>38</v>
      </c>
      <c r="C923" s="3" t="s">
        <v>9</v>
      </c>
      <c r="D923" s="4">
        <v>178751</v>
      </c>
      <c r="E923" s="4">
        <v>106194</v>
      </c>
    </row>
    <row r="924" spans="1:5" x14ac:dyDescent="0.3">
      <c r="A924" s="2" t="s">
        <v>31</v>
      </c>
      <c r="B924" s="3" t="s">
        <v>38</v>
      </c>
      <c r="C924" s="3" t="s">
        <v>10</v>
      </c>
      <c r="D924" s="4">
        <v>188025</v>
      </c>
      <c r="E924" s="4">
        <v>68606</v>
      </c>
    </row>
    <row r="925" spans="1:5" x14ac:dyDescent="0.3">
      <c r="A925" s="2" t="s">
        <v>31</v>
      </c>
      <c r="B925" s="3" t="s">
        <v>38</v>
      </c>
      <c r="C925" s="3" t="s">
        <v>11</v>
      </c>
      <c r="D925" s="4">
        <v>205583</v>
      </c>
      <c r="E925" s="4">
        <v>72033</v>
      </c>
    </row>
    <row r="926" spans="1:5" x14ac:dyDescent="0.3">
      <c r="A926" s="2" t="s">
        <v>31</v>
      </c>
      <c r="B926" s="3" t="s">
        <v>38</v>
      </c>
      <c r="C926" s="3" t="s">
        <v>12</v>
      </c>
      <c r="D926" s="4">
        <v>190283</v>
      </c>
      <c r="E926" s="4">
        <v>79215</v>
      </c>
    </row>
    <row r="927" spans="1:5" x14ac:dyDescent="0.3">
      <c r="A927" s="2" t="s">
        <v>31</v>
      </c>
      <c r="B927" s="3" t="s">
        <v>38</v>
      </c>
      <c r="C927" s="3" t="s">
        <v>13</v>
      </c>
      <c r="D927" s="4">
        <v>186436</v>
      </c>
      <c r="E927" s="4">
        <v>118123</v>
      </c>
    </row>
    <row r="928" spans="1:5" x14ac:dyDescent="0.3">
      <c r="A928" s="2" t="s">
        <v>31</v>
      </c>
      <c r="B928" s="3" t="s">
        <v>36</v>
      </c>
      <c r="C928" s="3" t="s">
        <v>2</v>
      </c>
      <c r="D928" s="4">
        <v>52588</v>
      </c>
      <c r="E928" s="4">
        <v>23008</v>
      </c>
    </row>
    <row r="929" spans="1:5" x14ac:dyDescent="0.3">
      <c r="A929" s="2" t="s">
        <v>31</v>
      </c>
      <c r="B929" s="3" t="s">
        <v>36</v>
      </c>
      <c r="C929" s="3" t="s">
        <v>3</v>
      </c>
      <c r="D929" s="4">
        <v>47981</v>
      </c>
      <c r="E929" s="4">
        <v>18987</v>
      </c>
    </row>
    <row r="930" spans="1:5" x14ac:dyDescent="0.3">
      <c r="A930" s="2" t="s">
        <v>31</v>
      </c>
      <c r="B930" s="3" t="s">
        <v>36</v>
      </c>
      <c r="C930" s="3" t="s">
        <v>4</v>
      </c>
      <c r="D930" s="4">
        <v>64616</v>
      </c>
      <c r="E930" s="4">
        <v>24445</v>
      </c>
    </row>
    <row r="931" spans="1:5" x14ac:dyDescent="0.3">
      <c r="A931" s="2" t="s">
        <v>31</v>
      </c>
      <c r="B931" s="3" t="s">
        <v>36</v>
      </c>
      <c r="C931" s="3" t="s">
        <v>5</v>
      </c>
      <c r="D931" s="4">
        <v>77080</v>
      </c>
      <c r="E931" s="4">
        <v>23882</v>
      </c>
    </row>
    <row r="932" spans="1:5" x14ac:dyDescent="0.3">
      <c r="A932" s="2" t="s">
        <v>31</v>
      </c>
      <c r="B932" s="3" t="s">
        <v>36</v>
      </c>
      <c r="C932" s="3" t="s">
        <v>6</v>
      </c>
      <c r="D932" s="4">
        <v>74752</v>
      </c>
      <c r="E932" s="4">
        <v>24930</v>
      </c>
    </row>
    <row r="933" spans="1:5" x14ac:dyDescent="0.3">
      <c r="A933" s="2" t="s">
        <v>31</v>
      </c>
      <c r="B933" s="3" t="s">
        <v>36</v>
      </c>
      <c r="C933" s="3" t="s">
        <v>7</v>
      </c>
      <c r="D933" s="4">
        <v>69871</v>
      </c>
      <c r="E933" s="4">
        <v>24169</v>
      </c>
    </row>
    <row r="934" spans="1:5" x14ac:dyDescent="0.3">
      <c r="A934" s="2" t="s">
        <v>31</v>
      </c>
      <c r="B934" s="3" t="s">
        <v>36</v>
      </c>
      <c r="C934" s="3" t="s">
        <v>8</v>
      </c>
      <c r="D934" s="4">
        <v>65436</v>
      </c>
      <c r="E934" s="4">
        <v>25330</v>
      </c>
    </row>
    <row r="935" spans="1:5" x14ac:dyDescent="0.3">
      <c r="A935" s="2" t="s">
        <v>31</v>
      </c>
      <c r="B935" s="3" t="s">
        <v>36</v>
      </c>
      <c r="C935" s="3" t="s">
        <v>9</v>
      </c>
      <c r="D935" s="4">
        <v>60294</v>
      </c>
      <c r="E935" s="4">
        <v>24888</v>
      </c>
    </row>
    <row r="936" spans="1:5" x14ac:dyDescent="0.3">
      <c r="A936" s="2" t="s">
        <v>31</v>
      </c>
      <c r="B936" s="3" t="s">
        <v>36</v>
      </c>
      <c r="C936" s="3" t="s">
        <v>10</v>
      </c>
      <c r="D936" s="4">
        <v>63176</v>
      </c>
      <c r="E936" s="4">
        <v>19723</v>
      </c>
    </row>
    <row r="937" spans="1:5" x14ac:dyDescent="0.3">
      <c r="A937" s="2" t="s">
        <v>31</v>
      </c>
      <c r="B937" s="3" t="s">
        <v>36</v>
      </c>
      <c r="C937" s="3" t="s">
        <v>11</v>
      </c>
      <c r="D937" s="4">
        <v>77221</v>
      </c>
      <c r="E937" s="4">
        <v>23879</v>
      </c>
    </row>
    <row r="938" spans="1:5" x14ac:dyDescent="0.3">
      <c r="A938" s="2" t="s">
        <v>31</v>
      </c>
      <c r="B938" s="3" t="s">
        <v>36</v>
      </c>
      <c r="C938" s="3" t="s">
        <v>12</v>
      </c>
      <c r="D938" s="4">
        <v>89031</v>
      </c>
      <c r="E938" s="4">
        <v>29020</v>
      </c>
    </row>
    <row r="939" spans="1:5" x14ac:dyDescent="0.3">
      <c r="A939" s="2" t="s">
        <v>31</v>
      </c>
      <c r="B939" s="3" t="s">
        <v>36</v>
      </c>
      <c r="C939" s="3" t="s">
        <v>13</v>
      </c>
      <c r="D939" s="4">
        <v>80247</v>
      </c>
      <c r="E939" s="4">
        <v>47117</v>
      </c>
    </row>
    <row r="940" spans="1:5" x14ac:dyDescent="0.3">
      <c r="A940" s="2" t="s">
        <v>31</v>
      </c>
      <c r="B940" s="3" t="s">
        <v>35</v>
      </c>
      <c r="C940" s="3" t="s">
        <v>2</v>
      </c>
      <c r="D940" s="4">
        <v>166859</v>
      </c>
      <c r="E940" s="4">
        <v>73850</v>
      </c>
    </row>
    <row r="941" spans="1:5" x14ac:dyDescent="0.3">
      <c r="A941" s="2" t="s">
        <v>31</v>
      </c>
      <c r="B941" s="3" t="s">
        <v>35</v>
      </c>
      <c r="C941" s="3" t="s">
        <v>3</v>
      </c>
      <c r="D941" s="4">
        <v>145519</v>
      </c>
      <c r="E941" s="4">
        <v>61491</v>
      </c>
    </row>
    <row r="942" spans="1:5" x14ac:dyDescent="0.3">
      <c r="A942" s="2" t="s">
        <v>31</v>
      </c>
      <c r="B942" s="3" t="s">
        <v>35</v>
      </c>
      <c r="C942" s="3" t="s">
        <v>4</v>
      </c>
      <c r="D942" s="4">
        <v>202320</v>
      </c>
      <c r="E942" s="4">
        <v>89082</v>
      </c>
    </row>
    <row r="943" spans="1:5" x14ac:dyDescent="0.3">
      <c r="A943" s="2" t="s">
        <v>31</v>
      </c>
      <c r="B943" s="3" t="s">
        <v>35</v>
      </c>
      <c r="C943" s="3" t="s">
        <v>5</v>
      </c>
      <c r="D943" s="4">
        <v>302004</v>
      </c>
      <c r="E943" s="4">
        <v>89470</v>
      </c>
    </row>
    <row r="944" spans="1:5" x14ac:dyDescent="0.3">
      <c r="A944" s="2" t="s">
        <v>31</v>
      </c>
      <c r="B944" s="3" t="s">
        <v>35</v>
      </c>
      <c r="C944" s="3" t="s">
        <v>6</v>
      </c>
      <c r="D944" s="4">
        <v>278453</v>
      </c>
      <c r="E944" s="4">
        <v>83799</v>
      </c>
    </row>
    <row r="945" spans="1:5" x14ac:dyDescent="0.3">
      <c r="A945" s="2" t="s">
        <v>31</v>
      </c>
      <c r="B945" s="3" t="s">
        <v>35</v>
      </c>
      <c r="C945" s="3" t="s">
        <v>7</v>
      </c>
      <c r="D945" s="4">
        <v>234725</v>
      </c>
      <c r="E945" s="4">
        <v>73431</v>
      </c>
    </row>
    <row r="946" spans="1:5" x14ac:dyDescent="0.3">
      <c r="A946" s="2" t="s">
        <v>31</v>
      </c>
      <c r="B946" s="3" t="s">
        <v>35</v>
      </c>
      <c r="C946" s="3" t="s">
        <v>8</v>
      </c>
      <c r="D946" s="4">
        <v>202527</v>
      </c>
      <c r="E946" s="4">
        <v>77174</v>
      </c>
    </row>
    <row r="947" spans="1:5" x14ac:dyDescent="0.3">
      <c r="A947" s="2" t="s">
        <v>31</v>
      </c>
      <c r="B947" s="3" t="s">
        <v>35</v>
      </c>
      <c r="C947" s="3" t="s">
        <v>9</v>
      </c>
      <c r="D947" s="4">
        <v>201293</v>
      </c>
      <c r="E947" s="4">
        <v>93803</v>
      </c>
    </row>
    <row r="948" spans="1:5" x14ac:dyDescent="0.3">
      <c r="A948" s="2" t="s">
        <v>31</v>
      </c>
      <c r="B948" s="3" t="s">
        <v>35</v>
      </c>
      <c r="C948" s="3" t="s">
        <v>10</v>
      </c>
      <c r="D948" s="4">
        <v>279358</v>
      </c>
      <c r="E948" s="4">
        <v>90936</v>
      </c>
    </row>
    <row r="949" spans="1:5" x14ac:dyDescent="0.3">
      <c r="A949" s="2" t="s">
        <v>31</v>
      </c>
      <c r="B949" s="3" t="s">
        <v>35</v>
      </c>
      <c r="C949" s="3" t="s">
        <v>11</v>
      </c>
      <c r="D949" s="4">
        <v>289644</v>
      </c>
      <c r="E949" s="4">
        <v>111930</v>
      </c>
    </row>
    <row r="950" spans="1:5" x14ac:dyDescent="0.3">
      <c r="A950" s="2" t="s">
        <v>31</v>
      </c>
      <c r="B950" s="3" t="s">
        <v>35</v>
      </c>
      <c r="C950" s="3" t="s">
        <v>12</v>
      </c>
      <c r="D950" s="4">
        <v>269552</v>
      </c>
      <c r="E950" s="4">
        <v>141793</v>
      </c>
    </row>
    <row r="951" spans="1:5" x14ac:dyDescent="0.3">
      <c r="A951" s="2" t="s">
        <v>31</v>
      </c>
      <c r="B951" s="3" t="s">
        <v>35</v>
      </c>
      <c r="C951" s="3" t="s">
        <v>13</v>
      </c>
      <c r="D951" s="4">
        <v>278627</v>
      </c>
      <c r="E951" s="4">
        <v>258813</v>
      </c>
    </row>
    <row r="952" spans="1:5" x14ac:dyDescent="0.3">
      <c r="A952" s="2" t="s">
        <v>31</v>
      </c>
      <c r="B952" s="3" t="s">
        <v>34</v>
      </c>
      <c r="C952" s="3" t="s">
        <v>2</v>
      </c>
      <c r="D952" s="4">
        <v>5819</v>
      </c>
      <c r="E952" s="4">
        <v>524</v>
      </c>
    </row>
    <row r="953" spans="1:5" x14ac:dyDescent="0.3">
      <c r="A953" s="2" t="s">
        <v>31</v>
      </c>
      <c r="B953" s="3" t="s">
        <v>34</v>
      </c>
      <c r="C953" s="3" t="s">
        <v>3</v>
      </c>
      <c r="D953" s="4">
        <v>6359</v>
      </c>
      <c r="E953" s="4">
        <v>580</v>
      </c>
    </row>
    <row r="954" spans="1:5" x14ac:dyDescent="0.3">
      <c r="A954" s="2" t="s">
        <v>31</v>
      </c>
      <c r="B954" s="3" t="s">
        <v>34</v>
      </c>
      <c r="C954" s="3" t="s">
        <v>4</v>
      </c>
      <c r="D954" s="4">
        <v>6798</v>
      </c>
      <c r="E954" s="4">
        <v>646</v>
      </c>
    </row>
    <row r="955" spans="1:5" x14ac:dyDescent="0.3">
      <c r="A955" s="2" t="s">
        <v>31</v>
      </c>
      <c r="B955" s="3" t="s">
        <v>34</v>
      </c>
      <c r="C955" s="3" t="s">
        <v>5</v>
      </c>
      <c r="D955" s="4">
        <v>6699</v>
      </c>
      <c r="E955" s="4">
        <v>613</v>
      </c>
    </row>
    <row r="956" spans="1:5" x14ac:dyDescent="0.3">
      <c r="A956" s="2" t="s">
        <v>31</v>
      </c>
      <c r="B956" s="3" t="s">
        <v>34</v>
      </c>
      <c r="C956" s="3" t="s">
        <v>6</v>
      </c>
      <c r="D956" s="4">
        <v>6153</v>
      </c>
      <c r="E956" s="4">
        <v>1030</v>
      </c>
    </row>
    <row r="957" spans="1:5" x14ac:dyDescent="0.3">
      <c r="A957" s="2" t="s">
        <v>31</v>
      </c>
      <c r="B957" s="3" t="s">
        <v>34</v>
      </c>
      <c r="C957" s="3" t="s">
        <v>7</v>
      </c>
      <c r="D957" s="4">
        <v>17957</v>
      </c>
      <c r="E957" s="4">
        <v>3013</v>
      </c>
    </row>
    <row r="958" spans="1:5" x14ac:dyDescent="0.3">
      <c r="A958" s="2" t="s">
        <v>31</v>
      </c>
      <c r="B958" s="3" t="s">
        <v>34</v>
      </c>
      <c r="C958" s="3" t="s">
        <v>8</v>
      </c>
      <c r="D958" s="4">
        <v>23360</v>
      </c>
      <c r="E958" s="4">
        <v>6928</v>
      </c>
    </row>
    <row r="959" spans="1:5" x14ac:dyDescent="0.3">
      <c r="A959" s="2" t="s">
        <v>31</v>
      </c>
      <c r="B959" s="3" t="s">
        <v>34</v>
      </c>
      <c r="C959" s="3" t="s">
        <v>9</v>
      </c>
      <c r="D959" s="4">
        <v>20177</v>
      </c>
      <c r="E959" s="4">
        <v>12754</v>
      </c>
    </row>
    <row r="960" spans="1:5" x14ac:dyDescent="0.3">
      <c r="A960" s="2" t="s">
        <v>31</v>
      </c>
      <c r="B960" s="3" t="s">
        <v>34</v>
      </c>
      <c r="C960" s="3" t="s">
        <v>10</v>
      </c>
      <c r="D960" s="4">
        <v>10224</v>
      </c>
      <c r="E960" s="4">
        <v>2403</v>
      </c>
    </row>
    <row r="961" spans="1:5" x14ac:dyDescent="0.3">
      <c r="A961" s="2" t="s">
        <v>31</v>
      </c>
      <c r="B961" s="3" t="s">
        <v>34</v>
      </c>
      <c r="C961" s="3" t="s">
        <v>11</v>
      </c>
      <c r="D961" s="4">
        <v>12413</v>
      </c>
      <c r="E961" s="4">
        <v>2235</v>
      </c>
    </row>
    <row r="962" spans="1:5" x14ac:dyDescent="0.3">
      <c r="A962" s="2" t="s">
        <v>31</v>
      </c>
      <c r="B962" s="3" t="s">
        <v>34</v>
      </c>
      <c r="C962" s="3" t="s">
        <v>12</v>
      </c>
      <c r="D962" s="4">
        <v>11838</v>
      </c>
      <c r="E962" s="4">
        <v>2912</v>
      </c>
    </row>
    <row r="963" spans="1:5" x14ac:dyDescent="0.3">
      <c r="A963" s="2" t="s">
        <v>31</v>
      </c>
      <c r="B963" s="3" t="s">
        <v>34</v>
      </c>
      <c r="C963" s="3" t="s">
        <v>13</v>
      </c>
      <c r="D963" s="4">
        <v>8234</v>
      </c>
      <c r="E963" s="4">
        <v>1964</v>
      </c>
    </row>
    <row r="964" spans="1:5" x14ac:dyDescent="0.3">
      <c r="A964" s="2" t="s">
        <v>32</v>
      </c>
      <c r="B964" s="3" t="s">
        <v>37</v>
      </c>
      <c r="C964" s="3" t="s">
        <v>2</v>
      </c>
      <c r="D964" s="4">
        <v>55168</v>
      </c>
      <c r="E964" s="4">
        <v>13348</v>
      </c>
    </row>
    <row r="965" spans="1:5" x14ac:dyDescent="0.3">
      <c r="A965" s="2" t="s">
        <v>32</v>
      </c>
      <c r="B965" s="3" t="s">
        <v>37</v>
      </c>
      <c r="C965" s="3" t="s">
        <v>3</v>
      </c>
      <c r="D965" s="4">
        <v>61296</v>
      </c>
      <c r="E965" s="4">
        <v>14641</v>
      </c>
    </row>
    <row r="966" spans="1:5" x14ac:dyDescent="0.3">
      <c r="A966" s="2" t="s">
        <v>32</v>
      </c>
      <c r="B966" s="3" t="s">
        <v>37</v>
      </c>
      <c r="C966" s="3" t="s">
        <v>4</v>
      </c>
      <c r="D966" s="4">
        <v>67413</v>
      </c>
      <c r="E966" s="4">
        <v>17041</v>
      </c>
    </row>
    <row r="967" spans="1:5" x14ac:dyDescent="0.3">
      <c r="A967" s="2" t="s">
        <v>32</v>
      </c>
      <c r="B967" s="3" t="s">
        <v>37</v>
      </c>
      <c r="C967" s="3" t="s">
        <v>5</v>
      </c>
      <c r="D967" s="4">
        <v>69439</v>
      </c>
      <c r="E967" s="4">
        <v>16068</v>
      </c>
    </row>
    <row r="968" spans="1:5" x14ac:dyDescent="0.3">
      <c r="A968" s="2" t="s">
        <v>32</v>
      </c>
      <c r="B968" s="3" t="s">
        <v>37</v>
      </c>
      <c r="C968" s="3" t="s">
        <v>6</v>
      </c>
      <c r="D968" s="4">
        <v>66370</v>
      </c>
      <c r="E968" s="4">
        <v>15813</v>
      </c>
    </row>
    <row r="969" spans="1:5" x14ac:dyDescent="0.3">
      <c r="A969" s="2" t="s">
        <v>32</v>
      </c>
      <c r="B969" s="3" t="s">
        <v>37</v>
      </c>
      <c r="C969" s="3" t="s">
        <v>7</v>
      </c>
      <c r="D969" s="4">
        <v>71785</v>
      </c>
      <c r="E969" s="4">
        <v>15967</v>
      </c>
    </row>
    <row r="970" spans="1:5" x14ac:dyDescent="0.3">
      <c r="A970" s="2" t="s">
        <v>32</v>
      </c>
      <c r="B970" s="3" t="s">
        <v>37</v>
      </c>
      <c r="C970" s="3" t="s">
        <v>8</v>
      </c>
      <c r="D970" s="4">
        <v>66287</v>
      </c>
      <c r="E970" s="4">
        <v>15400</v>
      </c>
    </row>
    <row r="971" spans="1:5" x14ac:dyDescent="0.3">
      <c r="A971" s="2" t="s">
        <v>32</v>
      </c>
      <c r="B971" s="3" t="s">
        <v>37</v>
      </c>
      <c r="C971" s="3" t="s">
        <v>9</v>
      </c>
      <c r="D971" s="4">
        <v>67266</v>
      </c>
      <c r="E971" s="4">
        <v>17866</v>
      </c>
    </row>
    <row r="972" spans="1:5" x14ac:dyDescent="0.3">
      <c r="A972" s="2" t="s">
        <v>32</v>
      </c>
      <c r="B972" s="3" t="s">
        <v>37</v>
      </c>
      <c r="C972" s="3" t="s">
        <v>10</v>
      </c>
      <c r="D972" s="4">
        <v>71563</v>
      </c>
      <c r="E972" s="4">
        <v>14030</v>
      </c>
    </row>
    <row r="973" spans="1:5" x14ac:dyDescent="0.3">
      <c r="A973" s="2" t="s">
        <v>32</v>
      </c>
      <c r="B973" s="3" t="s">
        <v>37</v>
      </c>
      <c r="C973" s="3" t="s">
        <v>11</v>
      </c>
      <c r="D973" s="4">
        <v>67062</v>
      </c>
      <c r="E973" s="4">
        <v>14218</v>
      </c>
    </row>
    <row r="974" spans="1:5" x14ac:dyDescent="0.3">
      <c r="A974" s="2" t="s">
        <v>32</v>
      </c>
      <c r="B974" s="3" t="s">
        <v>37</v>
      </c>
      <c r="C974" s="3" t="s">
        <v>12</v>
      </c>
      <c r="D974" s="4">
        <v>63939</v>
      </c>
      <c r="E974" s="4">
        <v>17650</v>
      </c>
    </row>
    <row r="975" spans="1:5" x14ac:dyDescent="0.3">
      <c r="A975" s="2" t="s">
        <v>32</v>
      </c>
      <c r="B975" s="3" t="s">
        <v>37</v>
      </c>
      <c r="C975" s="3" t="s">
        <v>13</v>
      </c>
      <c r="D975" s="4">
        <v>68071</v>
      </c>
      <c r="E975" s="4">
        <v>27661</v>
      </c>
    </row>
    <row r="976" spans="1:5" x14ac:dyDescent="0.3">
      <c r="A976" s="2" t="s">
        <v>32</v>
      </c>
      <c r="B976" s="3" t="s">
        <v>38</v>
      </c>
      <c r="C976" s="3" t="s">
        <v>2</v>
      </c>
      <c r="D976" s="4">
        <v>77266</v>
      </c>
      <c r="E976" s="4">
        <v>15283</v>
      </c>
    </row>
    <row r="977" spans="1:5" x14ac:dyDescent="0.3">
      <c r="A977" s="2" t="s">
        <v>32</v>
      </c>
      <c r="B977" s="3" t="s">
        <v>38</v>
      </c>
      <c r="C977" s="3" t="s">
        <v>3</v>
      </c>
      <c r="D977" s="4">
        <v>104827</v>
      </c>
      <c r="E977" s="4">
        <v>19244</v>
      </c>
    </row>
    <row r="978" spans="1:5" x14ac:dyDescent="0.3">
      <c r="A978" s="2" t="s">
        <v>32</v>
      </c>
      <c r="B978" s="3" t="s">
        <v>38</v>
      </c>
      <c r="C978" s="3" t="s">
        <v>4</v>
      </c>
      <c r="D978" s="4">
        <v>109113</v>
      </c>
      <c r="E978" s="4">
        <v>25203</v>
      </c>
    </row>
    <row r="979" spans="1:5" x14ac:dyDescent="0.3">
      <c r="A979" s="2" t="s">
        <v>32</v>
      </c>
      <c r="B979" s="3" t="s">
        <v>38</v>
      </c>
      <c r="C979" s="3" t="s">
        <v>5</v>
      </c>
      <c r="D979" s="4">
        <v>107003</v>
      </c>
      <c r="E979" s="4">
        <v>23380</v>
      </c>
    </row>
    <row r="980" spans="1:5" x14ac:dyDescent="0.3">
      <c r="A980" s="2" t="s">
        <v>32</v>
      </c>
      <c r="B980" s="3" t="s">
        <v>38</v>
      </c>
      <c r="C980" s="3" t="s">
        <v>6</v>
      </c>
      <c r="D980" s="4">
        <v>96049</v>
      </c>
      <c r="E980" s="4">
        <v>22731</v>
      </c>
    </row>
    <row r="981" spans="1:5" x14ac:dyDescent="0.3">
      <c r="A981" s="2" t="s">
        <v>32</v>
      </c>
      <c r="B981" s="3" t="s">
        <v>38</v>
      </c>
      <c r="C981" s="3" t="s">
        <v>7</v>
      </c>
      <c r="D981" s="4">
        <v>84220</v>
      </c>
      <c r="E981" s="4">
        <v>18851</v>
      </c>
    </row>
    <row r="982" spans="1:5" x14ac:dyDescent="0.3">
      <c r="A982" s="2" t="s">
        <v>32</v>
      </c>
      <c r="B982" s="3" t="s">
        <v>38</v>
      </c>
      <c r="C982" s="3" t="s">
        <v>8</v>
      </c>
      <c r="D982" s="4">
        <v>73306</v>
      </c>
      <c r="E982" s="4">
        <v>21191</v>
      </c>
    </row>
    <row r="983" spans="1:5" x14ac:dyDescent="0.3">
      <c r="A983" s="2" t="s">
        <v>32</v>
      </c>
      <c r="B983" s="3" t="s">
        <v>38</v>
      </c>
      <c r="C983" s="3" t="s">
        <v>9</v>
      </c>
      <c r="D983" s="4">
        <v>68492</v>
      </c>
      <c r="E983" s="4">
        <v>22897</v>
      </c>
    </row>
    <row r="984" spans="1:5" x14ac:dyDescent="0.3">
      <c r="A984" s="2" t="s">
        <v>32</v>
      </c>
      <c r="B984" s="3" t="s">
        <v>38</v>
      </c>
      <c r="C984" s="3" t="s">
        <v>10</v>
      </c>
      <c r="D984" s="4">
        <v>64673</v>
      </c>
      <c r="E984" s="4">
        <v>14636</v>
      </c>
    </row>
    <row r="985" spans="1:5" x14ac:dyDescent="0.3">
      <c r="A985" s="2" t="s">
        <v>32</v>
      </c>
      <c r="B985" s="3" t="s">
        <v>38</v>
      </c>
      <c r="C985" s="3" t="s">
        <v>11</v>
      </c>
      <c r="D985" s="4">
        <v>75622</v>
      </c>
      <c r="E985" s="4">
        <v>15526</v>
      </c>
    </row>
    <row r="986" spans="1:5" x14ac:dyDescent="0.3">
      <c r="A986" s="2" t="s">
        <v>32</v>
      </c>
      <c r="B986" s="3" t="s">
        <v>38</v>
      </c>
      <c r="C986" s="3" t="s">
        <v>12</v>
      </c>
      <c r="D986" s="4">
        <v>79684</v>
      </c>
      <c r="E986" s="4">
        <v>19452</v>
      </c>
    </row>
    <row r="987" spans="1:5" x14ac:dyDescent="0.3">
      <c r="A987" s="2" t="s">
        <v>32</v>
      </c>
      <c r="B987" s="3" t="s">
        <v>38</v>
      </c>
      <c r="C987" s="3" t="s">
        <v>13</v>
      </c>
      <c r="D987" s="4">
        <v>74372</v>
      </c>
      <c r="E987" s="4">
        <v>31366</v>
      </c>
    </row>
    <row r="988" spans="1:5" x14ac:dyDescent="0.3">
      <c r="A988" s="2" t="s">
        <v>32</v>
      </c>
      <c r="B988" s="3" t="s">
        <v>36</v>
      </c>
      <c r="C988" s="3" t="s">
        <v>2</v>
      </c>
      <c r="D988" s="4">
        <v>22968</v>
      </c>
      <c r="E988" s="4">
        <v>6924</v>
      </c>
    </row>
    <row r="989" spans="1:5" x14ac:dyDescent="0.3">
      <c r="A989" s="2" t="s">
        <v>32</v>
      </c>
      <c r="B989" s="3" t="s">
        <v>36</v>
      </c>
      <c r="C989" s="3" t="s">
        <v>3</v>
      </c>
      <c r="D989" s="4">
        <v>23729</v>
      </c>
      <c r="E989" s="4">
        <v>6778</v>
      </c>
    </row>
    <row r="990" spans="1:5" x14ac:dyDescent="0.3">
      <c r="A990" s="2" t="s">
        <v>32</v>
      </c>
      <c r="B990" s="3" t="s">
        <v>36</v>
      </c>
      <c r="C990" s="3" t="s">
        <v>4</v>
      </c>
      <c r="D990" s="4">
        <v>26519</v>
      </c>
      <c r="E990" s="4">
        <v>7631</v>
      </c>
    </row>
    <row r="991" spans="1:5" x14ac:dyDescent="0.3">
      <c r="A991" s="2" t="s">
        <v>32</v>
      </c>
      <c r="B991" s="3" t="s">
        <v>36</v>
      </c>
      <c r="C991" s="3" t="s">
        <v>5</v>
      </c>
      <c r="D991" s="4">
        <v>36045</v>
      </c>
      <c r="E991" s="4">
        <v>9317</v>
      </c>
    </row>
    <row r="992" spans="1:5" x14ac:dyDescent="0.3">
      <c r="A992" s="2" t="s">
        <v>32</v>
      </c>
      <c r="B992" s="3" t="s">
        <v>36</v>
      </c>
      <c r="C992" s="3" t="s">
        <v>6</v>
      </c>
      <c r="D992" s="4">
        <v>35221</v>
      </c>
      <c r="E992" s="4">
        <v>9798</v>
      </c>
    </row>
    <row r="993" spans="1:5" x14ac:dyDescent="0.3">
      <c r="A993" s="2" t="s">
        <v>32</v>
      </c>
      <c r="B993" s="3" t="s">
        <v>36</v>
      </c>
      <c r="C993" s="3" t="s">
        <v>7</v>
      </c>
      <c r="D993" s="4">
        <v>34614</v>
      </c>
      <c r="E993" s="4">
        <v>9459</v>
      </c>
    </row>
    <row r="994" spans="1:5" x14ac:dyDescent="0.3">
      <c r="A994" s="2" t="s">
        <v>32</v>
      </c>
      <c r="B994" s="3" t="s">
        <v>36</v>
      </c>
      <c r="C994" s="3" t="s">
        <v>8</v>
      </c>
      <c r="D994" s="4">
        <v>33348</v>
      </c>
      <c r="E994" s="4">
        <v>10470</v>
      </c>
    </row>
    <row r="995" spans="1:5" x14ac:dyDescent="0.3">
      <c r="A995" s="2" t="s">
        <v>32</v>
      </c>
      <c r="B995" s="3" t="s">
        <v>36</v>
      </c>
      <c r="C995" s="3" t="s">
        <v>9</v>
      </c>
      <c r="D995" s="4">
        <v>29935</v>
      </c>
      <c r="E995" s="4">
        <v>10259</v>
      </c>
    </row>
    <row r="996" spans="1:5" x14ac:dyDescent="0.3">
      <c r="A996" s="2" t="s">
        <v>32</v>
      </c>
      <c r="B996" s="3" t="s">
        <v>36</v>
      </c>
      <c r="C996" s="3" t="s">
        <v>10</v>
      </c>
      <c r="D996" s="4">
        <v>26673</v>
      </c>
      <c r="E996" s="4">
        <v>6664</v>
      </c>
    </row>
    <row r="997" spans="1:5" x14ac:dyDescent="0.3">
      <c r="A997" s="2" t="s">
        <v>32</v>
      </c>
      <c r="B997" s="3" t="s">
        <v>36</v>
      </c>
      <c r="C997" s="3" t="s">
        <v>11</v>
      </c>
      <c r="D997" s="4">
        <v>30977</v>
      </c>
      <c r="E997" s="4">
        <v>8711</v>
      </c>
    </row>
    <row r="998" spans="1:5" x14ac:dyDescent="0.3">
      <c r="A998" s="2" t="s">
        <v>32</v>
      </c>
      <c r="B998" s="3" t="s">
        <v>36</v>
      </c>
      <c r="C998" s="3" t="s">
        <v>12</v>
      </c>
      <c r="D998" s="4">
        <v>32341</v>
      </c>
      <c r="E998" s="4">
        <v>10340</v>
      </c>
    </row>
    <row r="999" spans="1:5" x14ac:dyDescent="0.3">
      <c r="A999" s="2" t="s">
        <v>32</v>
      </c>
      <c r="B999" s="3" t="s">
        <v>36</v>
      </c>
      <c r="C999" s="3" t="s">
        <v>13</v>
      </c>
      <c r="D999" s="4">
        <v>30293</v>
      </c>
      <c r="E999" s="4">
        <v>15786</v>
      </c>
    </row>
    <row r="1000" spans="1:5" x14ac:dyDescent="0.3">
      <c r="A1000" s="2" t="s">
        <v>32</v>
      </c>
      <c r="B1000" s="3" t="s">
        <v>35</v>
      </c>
      <c r="C1000" s="3" t="s">
        <v>2</v>
      </c>
      <c r="D1000" s="4">
        <v>43186</v>
      </c>
      <c r="E1000" s="4">
        <v>8714</v>
      </c>
    </row>
    <row r="1001" spans="1:5" x14ac:dyDescent="0.3">
      <c r="A1001" s="2" t="s">
        <v>32</v>
      </c>
      <c r="B1001" s="3" t="s">
        <v>35</v>
      </c>
      <c r="C1001" s="3" t="s">
        <v>3</v>
      </c>
      <c r="D1001" s="4">
        <v>41476</v>
      </c>
      <c r="E1001" s="4">
        <v>9451</v>
      </c>
    </row>
    <row r="1002" spans="1:5" x14ac:dyDescent="0.3">
      <c r="A1002" s="2" t="s">
        <v>32</v>
      </c>
      <c r="B1002" s="3" t="s">
        <v>35</v>
      </c>
      <c r="C1002" s="3" t="s">
        <v>4</v>
      </c>
      <c r="D1002" s="4">
        <v>48185</v>
      </c>
      <c r="E1002" s="4">
        <v>12932</v>
      </c>
    </row>
    <row r="1003" spans="1:5" x14ac:dyDescent="0.3">
      <c r="A1003" s="2" t="s">
        <v>32</v>
      </c>
      <c r="B1003" s="3" t="s">
        <v>35</v>
      </c>
      <c r="C1003" s="3" t="s">
        <v>5</v>
      </c>
      <c r="D1003" s="4">
        <v>77526</v>
      </c>
      <c r="E1003" s="4">
        <v>15397</v>
      </c>
    </row>
    <row r="1004" spans="1:5" x14ac:dyDescent="0.3">
      <c r="A1004" s="2" t="s">
        <v>32</v>
      </c>
      <c r="B1004" s="3" t="s">
        <v>35</v>
      </c>
      <c r="C1004" s="3" t="s">
        <v>6</v>
      </c>
      <c r="D1004" s="4">
        <v>69874</v>
      </c>
      <c r="E1004" s="4">
        <v>14385</v>
      </c>
    </row>
    <row r="1005" spans="1:5" x14ac:dyDescent="0.3">
      <c r="A1005" s="2" t="s">
        <v>32</v>
      </c>
      <c r="B1005" s="3" t="s">
        <v>35</v>
      </c>
      <c r="C1005" s="3" t="s">
        <v>7</v>
      </c>
      <c r="D1005" s="4">
        <v>65872</v>
      </c>
      <c r="E1005" s="4">
        <v>11665</v>
      </c>
    </row>
    <row r="1006" spans="1:5" x14ac:dyDescent="0.3">
      <c r="A1006" s="2" t="s">
        <v>32</v>
      </c>
      <c r="B1006" s="3" t="s">
        <v>35</v>
      </c>
      <c r="C1006" s="3" t="s">
        <v>8</v>
      </c>
      <c r="D1006" s="4">
        <v>60030</v>
      </c>
      <c r="E1006" s="4">
        <v>12333</v>
      </c>
    </row>
    <row r="1007" spans="1:5" x14ac:dyDescent="0.3">
      <c r="A1007" s="2" t="s">
        <v>32</v>
      </c>
      <c r="B1007" s="3" t="s">
        <v>35</v>
      </c>
      <c r="C1007" s="3" t="s">
        <v>9</v>
      </c>
      <c r="D1007" s="4">
        <v>55527</v>
      </c>
      <c r="E1007" s="4">
        <v>11401</v>
      </c>
    </row>
    <row r="1008" spans="1:5" x14ac:dyDescent="0.3">
      <c r="A1008" s="2" t="s">
        <v>32</v>
      </c>
      <c r="B1008" s="3" t="s">
        <v>35</v>
      </c>
      <c r="C1008" s="3" t="s">
        <v>10</v>
      </c>
      <c r="D1008" s="4">
        <v>64468</v>
      </c>
      <c r="E1008" s="4">
        <v>9824</v>
      </c>
    </row>
    <row r="1009" spans="1:5" x14ac:dyDescent="0.3">
      <c r="A1009" s="2" t="s">
        <v>32</v>
      </c>
      <c r="B1009" s="3" t="s">
        <v>35</v>
      </c>
      <c r="C1009" s="3" t="s">
        <v>11</v>
      </c>
      <c r="D1009" s="4">
        <v>63629</v>
      </c>
      <c r="E1009" s="4">
        <v>11424</v>
      </c>
    </row>
    <row r="1010" spans="1:5" x14ac:dyDescent="0.3">
      <c r="A1010" s="2" t="s">
        <v>32</v>
      </c>
      <c r="B1010" s="3" t="s">
        <v>35</v>
      </c>
      <c r="C1010" s="3" t="s">
        <v>12</v>
      </c>
      <c r="D1010" s="4">
        <v>68481</v>
      </c>
      <c r="E1010" s="4">
        <v>17278</v>
      </c>
    </row>
    <row r="1011" spans="1:5" x14ac:dyDescent="0.3">
      <c r="A1011" s="2" t="s">
        <v>32</v>
      </c>
      <c r="B1011" s="3" t="s">
        <v>35</v>
      </c>
      <c r="C1011" s="3" t="s">
        <v>13</v>
      </c>
      <c r="D1011" s="4">
        <v>59801</v>
      </c>
      <c r="E1011" s="4">
        <v>31791</v>
      </c>
    </row>
    <row r="1012" spans="1:5" x14ac:dyDescent="0.3">
      <c r="A1012" s="2" t="s">
        <v>32</v>
      </c>
      <c r="B1012" s="3" t="s">
        <v>34</v>
      </c>
      <c r="C1012" s="3" t="s">
        <v>2</v>
      </c>
      <c r="D1012" s="4">
        <v>1956</v>
      </c>
      <c r="E1012" s="4">
        <v>295</v>
      </c>
    </row>
    <row r="1013" spans="1:5" x14ac:dyDescent="0.3">
      <c r="A1013" s="2" t="s">
        <v>32</v>
      </c>
      <c r="B1013" s="3" t="s">
        <v>34</v>
      </c>
      <c r="C1013" s="3" t="s">
        <v>3</v>
      </c>
      <c r="D1013" s="4">
        <v>1948</v>
      </c>
      <c r="E1013" s="4">
        <v>212</v>
      </c>
    </row>
    <row r="1014" spans="1:5" x14ac:dyDescent="0.3">
      <c r="A1014" s="2" t="s">
        <v>32</v>
      </c>
      <c r="B1014" s="3" t="s">
        <v>34</v>
      </c>
      <c r="C1014" s="3" t="s">
        <v>4</v>
      </c>
      <c r="D1014" s="4">
        <v>1791</v>
      </c>
      <c r="E1014" s="4">
        <v>203</v>
      </c>
    </row>
    <row r="1015" spans="1:5" x14ac:dyDescent="0.3">
      <c r="A1015" s="2" t="s">
        <v>32</v>
      </c>
      <c r="B1015" s="3" t="s">
        <v>34</v>
      </c>
      <c r="C1015" s="3" t="s">
        <v>5</v>
      </c>
      <c r="D1015" s="4">
        <v>2048</v>
      </c>
      <c r="E1015" s="4">
        <v>264</v>
      </c>
    </row>
    <row r="1016" spans="1:5" x14ac:dyDescent="0.3">
      <c r="A1016" s="2" t="s">
        <v>32</v>
      </c>
      <c r="B1016" s="3" t="s">
        <v>34</v>
      </c>
      <c r="C1016" s="3" t="s">
        <v>6</v>
      </c>
      <c r="D1016" s="4">
        <v>1867</v>
      </c>
      <c r="E1016" s="4">
        <v>343</v>
      </c>
    </row>
    <row r="1017" spans="1:5" x14ac:dyDescent="0.3">
      <c r="A1017" s="2" t="s">
        <v>32</v>
      </c>
      <c r="B1017" s="3" t="s">
        <v>34</v>
      </c>
      <c r="C1017" s="3" t="s">
        <v>7</v>
      </c>
      <c r="D1017" s="4">
        <v>6349</v>
      </c>
      <c r="E1017" s="4">
        <v>739</v>
      </c>
    </row>
    <row r="1018" spans="1:5" x14ac:dyDescent="0.3">
      <c r="A1018" s="2" t="s">
        <v>32</v>
      </c>
      <c r="B1018" s="3" t="s">
        <v>34</v>
      </c>
      <c r="C1018" s="3" t="s">
        <v>8</v>
      </c>
      <c r="D1018" s="4">
        <v>8839</v>
      </c>
      <c r="E1018" s="4">
        <v>2554</v>
      </c>
    </row>
    <row r="1019" spans="1:5" x14ac:dyDescent="0.3">
      <c r="A1019" s="2" t="s">
        <v>32</v>
      </c>
      <c r="B1019" s="3" t="s">
        <v>34</v>
      </c>
      <c r="C1019" s="3" t="s">
        <v>9</v>
      </c>
      <c r="D1019" s="4">
        <v>7600</v>
      </c>
      <c r="E1019" s="4">
        <v>5213</v>
      </c>
    </row>
    <row r="1020" spans="1:5" x14ac:dyDescent="0.3">
      <c r="A1020" s="2" t="s">
        <v>32</v>
      </c>
      <c r="B1020" s="3" t="s">
        <v>34</v>
      </c>
      <c r="C1020" s="3" t="s">
        <v>10</v>
      </c>
      <c r="D1020" s="4">
        <v>3373</v>
      </c>
      <c r="E1020" s="4">
        <v>735</v>
      </c>
    </row>
    <row r="1021" spans="1:5" x14ac:dyDescent="0.3">
      <c r="A1021" s="2" t="s">
        <v>32</v>
      </c>
      <c r="B1021" s="3" t="s">
        <v>34</v>
      </c>
      <c r="C1021" s="3" t="s">
        <v>11</v>
      </c>
      <c r="D1021" s="4">
        <v>3968</v>
      </c>
      <c r="E1021" s="4">
        <v>580</v>
      </c>
    </row>
    <row r="1022" spans="1:5" x14ac:dyDescent="0.3">
      <c r="A1022" s="2" t="s">
        <v>32</v>
      </c>
      <c r="B1022" s="3" t="s">
        <v>34</v>
      </c>
      <c r="C1022" s="3" t="s">
        <v>12</v>
      </c>
      <c r="D1022" s="4">
        <v>4044</v>
      </c>
      <c r="E1022" s="4">
        <v>912</v>
      </c>
    </row>
    <row r="1023" spans="1:5" x14ac:dyDescent="0.3">
      <c r="A1023" s="2" t="s">
        <v>32</v>
      </c>
      <c r="B1023" s="3" t="s">
        <v>34</v>
      </c>
      <c r="C1023" s="3" t="s">
        <v>13</v>
      </c>
      <c r="D1023" s="4">
        <v>2994</v>
      </c>
      <c r="E1023" s="4">
        <v>744</v>
      </c>
    </row>
  </sheetData>
  <autoFilter ref="A3:D1023" xr:uid="{D5EF6FDE-419E-4896-859D-BB0ED01514C5}"/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6B937-53B7-4C7C-89DF-47A101CC1F80}">
  <dimension ref="A1:M1023"/>
  <sheetViews>
    <sheetView showGridLines="0" topLeftCell="A3" workbookViewId="0">
      <selection activeCell="I26" sqref="I26"/>
    </sheetView>
  </sheetViews>
  <sheetFormatPr baseColWidth="10" defaultRowHeight="14.4" x14ac:dyDescent="0.3"/>
  <cols>
    <col min="1" max="1" width="18.33203125" bestFit="1" customWidth="1"/>
    <col min="2" max="2" width="34.77734375" customWidth="1"/>
    <col min="3" max="3" width="10.109375" bestFit="1" customWidth="1"/>
    <col min="4" max="5" width="9.33203125" bestFit="1" customWidth="1"/>
    <col min="7" max="7" width="16.5546875" bestFit="1" customWidth="1"/>
    <col min="8" max="8" width="23.77734375" bestFit="1" customWidth="1"/>
    <col min="9" max="9" width="15.21875" bestFit="1" customWidth="1"/>
    <col min="10" max="10" width="19.6640625" bestFit="1" customWidth="1"/>
    <col min="11" max="11" width="19.77734375" bestFit="1" customWidth="1"/>
    <col min="12" max="12" width="21.88671875" bestFit="1" customWidth="1"/>
    <col min="13" max="13" width="15.21875" bestFit="1" customWidth="1"/>
    <col min="14" max="14" width="15.109375" bestFit="1" customWidth="1"/>
    <col min="15" max="15" width="15.21875" bestFit="1" customWidth="1"/>
    <col min="16" max="16" width="18.44140625" bestFit="1" customWidth="1"/>
    <col min="17" max="17" width="15.21875" bestFit="1" customWidth="1"/>
    <col min="18" max="18" width="19.6640625" bestFit="1" customWidth="1"/>
    <col min="19" max="19" width="19.77734375" bestFit="1" customWidth="1"/>
  </cols>
  <sheetData>
    <row r="1" spans="1:11" x14ac:dyDescent="0.3">
      <c r="A1" s="16" t="s">
        <v>39</v>
      </c>
      <c r="B1" s="16"/>
      <c r="C1" s="16"/>
      <c r="D1" s="16"/>
      <c r="E1" s="16"/>
    </row>
    <row r="3" spans="1:11" x14ac:dyDescent="0.3">
      <c r="A3" s="1" t="s">
        <v>0</v>
      </c>
      <c r="B3" s="1" t="s">
        <v>33</v>
      </c>
      <c r="C3" s="1" t="s">
        <v>1</v>
      </c>
      <c r="D3" s="1" t="s">
        <v>15</v>
      </c>
      <c r="E3" s="1" t="s">
        <v>14</v>
      </c>
    </row>
    <row r="4" spans="1:11" x14ac:dyDescent="0.3">
      <c r="A4" s="3" t="s">
        <v>16</v>
      </c>
      <c r="B4" s="3" t="s">
        <v>37</v>
      </c>
      <c r="C4" s="3" t="s">
        <v>2</v>
      </c>
      <c r="D4" s="4">
        <v>46849</v>
      </c>
      <c r="E4" s="4">
        <v>12855</v>
      </c>
      <c r="G4" s="6" t="s">
        <v>66</v>
      </c>
    </row>
    <row r="5" spans="1:11" x14ac:dyDescent="0.3">
      <c r="A5" s="3" t="s">
        <v>16</v>
      </c>
      <c r="B5" s="3" t="s">
        <v>37</v>
      </c>
      <c r="C5" s="3" t="s">
        <v>3</v>
      </c>
      <c r="D5" s="4">
        <v>53818</v>
      </c>
      <c r="E5" s="4">
        <v>15884</v>
      </c>
    </row>
    <row r="6" spans="1:11" x14ac:dyDescent="0.3">
      <c r="A6" s="3" t="s">
        <v>16</v>
      </c>
      <c r="B6" s="3" t="s">
        <v>37</v>
      </c>
      <c r="C6" s="3" t="s">
        <v>4</v>
      </c>
      <c r="D6" s="4">
        <v>57985</v>
      </c>
      <c r="E6" s="4">
        <v>18251</v>
      </c>
      <c r="G6" s="8" t="s">
        <v>0</v>
      </c>
      <c r="H6" t="s">
        <v>52</v>
      </c>
    </row>
    <row r="7" spans="1:11" x14ac:dyDescent="0.3">
      <c r="A7" s="3" t="s">
        <v>16</v>
      </c>
      <c r="B7" s="3" t="s">
        <v>37</v>
      </c>
      <c r="C7" s="3" t="s">
        <v>5</v>
      </c>
      <c r="D7" s="4">
        <v>58264</v>
      </c>
      <c r="E7" s="4">
        <v>16241</v>
      </c>
    </row>
    <row r="8" spans="1:11" x14ac:dyDescent="0.3">
      <c r="A8" s="3" t="s">
        <v>16</v>
      </c>
      <c r="B8" s="3" t="s">
        <v>37</v>
      </c>
      <c r="C8" s="3" t="s">
        <v>6</v>
      </c>
      <c r="D8" s="4">
        <v>54629</v>
      </c>
      <c r="E8" s="4">
        <v>15911</v>
      </c>
      <c r="G8" s="8" t="s">
        <v>53</v>
      </c>
      <c r="H8" t="s">
        <v>43</v>
      </c>
      <c r="I8" t="s">
        <v>44</v>
      </c>
      <c r="J8" s="10" t="s">
        <v>45</v>
      </c>
      <c r="K8" s="10" t="s">
        <v>46</v>
      </c>
    </row>
    <row r="9" spans="1:11" x14ac:dyDescent="0.3">
      <c r="A9" s="3" t="s">
        <v>16</v>
      </c>
      <c r="B9" s="3" t="s">
        <v>37</v>
      </c>
      <c r="C9" s="3" t="s">
        <v>7</v>
      </c>
      <c r="D9" s="4">
        <v>62869</v>
      </c>
      <c r="E9" s="4">
        <v>18028</v>
      </c>
      <c r="G9" s="5" t="s">
        <v>2</v>
      </c>
      <c r="H9" s="7">
        <v>5370284</v>
      </c>
      <c r="I9" s="7">
        <v>2098433</v>
      </c>
    </row>
    <row r="10" spans="1:11" x14ac:dyDescent="0.3">
      <c r="A10" s="3" t="s">
        <v>16</v>
      </c>
      <c r="B10" s="3" t="s">
        <v>37</v>
      </c>
      <c r="C10" s="3" t="s">
        <v>8</v>
      </c>
      <c r="D10" s="4">
        <v>56630</v>
      </c>
      <c r="E10" s="4">
        <v>15436</v>
      </c>
      <c r="G10" s="5" t="s">
        <v>3</v>
      </c>
      <c r="H10" s="7">
        <v>6470829</v>
      </c>
      <c r="I10" s="7">
        <v>2442036</v>
      </c>
      <c r="J10">
        <f>(H9+H10)/2</f>
        <v>5920556.5</v>
      </c>
      <c r="K10">
        <f>I10/J10</f>
        <v>0.41246730776068097</v>
      </c>
    </row>
    <row r="11" spans="1:11" x14ac:dyDescent="0.3">
      <c r="A11" s="3" t="s">
        <v>16</v>
      </c>
      <c r="B11" s="3" t="s">
        <v>37</v>
      </c>
      <c r="C11" s="3" t="s">
        <v>9</v>
      </c>
      <c r="D11" s="4">
        <v>57820</v>
      </c>
      <c r="E11" s="4">
        <v>18659</v>
      </c>
      <c r="G11" s="5" t="s">
        <v>4</v>
      </c>
      <c r="H11" s="7">
        <v>8069550</v>
      </c>
      <c r="I11" s="7">
        <v>3040370</v>
      </c>
      <c r="J11">
        <f t="shared" ref="J11:J20" si="0">(H10+H11)/2</f>
        <v>7270189.5</v>
      </c>
      <c r="K11">
        <f t="shared" ref="K11:K20" si="1">I11/J11</f>
        <v>0.41819680216038385</v>
      </c>
    </row>
    <row r="12" spans="1:11" x14ac:dyDescent="0.3">
      <c r="A12" s="3" t="s">
        <v>16</v>
      </c>
      <c r="B12" s="3" t="s">
        <v>37</v>
      </c>
      <c r="C12" s="3" t="s">
        <v>10</v>
      </c>
      <c r="D12" s="4">
        <v>62807</v>
      </c>
      <c r="E12" s="4">
        <v>15346</v>
      </c>
      <c r="G12" s="5" t="s">
        <v>5</v>
      </c>
      <c r="H12" s="7">
        <v>7929928</v>
      </c>
      <c r="I12" s="7">
        <v>2457429</v>
      </c>
      <c r="J12">
        <f t="shared" si="0"/>
        <v>7999739</v>
      </c>
      <c r="K12">
        <f t="shared" si="1"/>
        <v>0.30718864702960935</v>
      </c>
    </row>
    <row r="13" spans="1:11" x14ac:dyDescent="0.3">
      <c r="A13" s="3" t="s">
        <v>16</v>
      </c>
      <c r="B13" s="3" t="s">
        <v>37</v>
      </c>
      <c r="C13" s="3" t="s">
        <v>11</v>
      </c>
      <c r="D13" s="4">
        <v>59171</v>
      </c>
      <c r="E13" s="4">
        <v>15080</v>
      </c>
      <c r="G13" s="5" t="s">
        <v>6</v>
      </c>
      <c r="H13" s="7">
        <v>7427524</v>
      </c>
      <c r="I13" s="7">
        <v>2609369</v>
      </c>
      <c r="J13">
        <f t="shared" si="0"/>
        <v>7678726</v>
      </c>
      <c r="K13">
        <f t="shared" si="1"/>
        <v>0.33981795938545012</v>
      </c>
    </row>
    <row r="14" spans="1:11" x14ac:dyDescent="0.3">
      <c r="A14" s="3" t="s">
        <v>16</v>
      </c>
      <c r="B14" s="3" t="s">
        <v>37</v>
      </c>
      <c r="C14" s="3" t="s">
        <v>12</v>
      </c>
      <c r="D14" s="4">
        <v>56444</v>
      </c>
      <c r="E14" s="4">
        <v>17656</v>
      </c>
      <c r="G14" s="5" t="s">
        <v>7</v>
      </c>
      <c r="H14" s="7">
        <v>7488595</v>
      </c>
      <c r="I14" s="7">
        <v>2565800</v>
      </c>
      <c r="J14">
        <f t="shared" si="0"/>
        <v>7458059.5</v>
      </c>
      <c r="K14">
        <f t="shared" si="1"/>
        <v>0.34403050820391012</v>
      </c>
    </row>
    <row r="15" spans="1:11" x14ac:dyDescent="0.3">
      <c r="A15" s="3" t="s">
        <v>16</v>
      </c>
      <c r="B15" s="3" t="s">
        <v>37</v>
      </c>
      <c r="C15" s="3" t="s">
        <v>13</v>
      </c>
      <c r="D15" s="4">
        <v>61076</v>
      </c>
      <c r="E15" s="4">
        <v>27846</v>
      </c>
      <c r="G15" s="5" t="s">
        <v>8</v>
      </c>
      <c r="H15" s="7">
        <v>7452288</v>
      </c>
      <c r="I15" s="7">
        <v>2735946</v>
      </c>
      <c r="J15">
        <f t="shared" si="0"/>
        <v>7470441.5</v>
      </c>
      <c r="K15">
        <f t="shared" si="1"/>
        <v>0.3662361856390951</v>
      </c>
    </row>
    <row r="16" spans="1:11" x14ac:dyDescent="0.3">
      <c r="A16" s="3" t="s">
        <v>16</v>
      </c>
      <c r="B16" s="3" t="s">
        <v>38</v>
      </c>
      <c r="C16" s="3" t="s">
        <v>2</v>
      </c>
      <c r="D16" s="4">
        <v>44250</v>
      </c>
      <c r="E16" s="4">
        <v>9769</v>
      </c>
      <c r="G16" s="5" t="s">
        <v>9</v>
      </c>
      <c r="H16" s="7">
        <v>7967501</v>
      </c>
      <c r="I16" s="7">
        <v>3325320</v>
      </c>
      <c r="J16">
        <f t="shared" si="0"/>
        <v>7709894.5</v>
      </c>
      <c r="K16">
        <f t="shared" si="1"/>
        <v>0.43130551267595169</v>
      </c>
    </row>
    <row r="17" spans="1:13" x14ac:dyDescent="0.3">
      <c r="A17" s="3" t="s">
        <v>16</v>
      </c>
      <c r="B17" s="3" t="s">
        <v>38</v>
      </c>
      <c r="C17" s="3" t="s">
        <v>3</v>
      </c>
      <c r="D17" s="4">
        <v>58082</v>
      </c>
      <c r="E17" s="4">
        <v>14930</v>
      </c>
      <c r="G17" s="5" t="s">
        <v>10</v>
      </c>
      <c r="H17" s="7">
        <v>8729326</v>
      </c>
      <c r="I17" s="7">
        <v>2678114</v>
      </c>
      <c r="J17">
        <f t="shared" si="0"/>
        <v>8348413.5</v>
      </c>
      <c r="K17">
        <f t="shared" si="1"/>
        <v>0.32079316627045368</v>
      </c>
    </row>
    <row r="18" spans="1:13" x14ac:dyDescent="0.3">
      <c r="A18" s="3" t="s">
        <v>16</v>
      </c>
      <c r="B18" s="3" t="s">
        <v>38</v>
      </c>
      <c r="C18" s="3" t="s">
        <v>4</v>
      </c>
      <c r="D18" s="4">
        <v>61578</v>
      </c>
      <c r="E18" s="4">
        <v>19258</v>
      </c>
      <c r="G18" s="5" t="s">
        <v>11</v>
      </c>
      <c r="H18" s="7">
        <v>8580451</v>
      </c>
      <c r="I18" s="7">
        <v>3137847</v>
      </c>
      <c r="J18">
        <f t="shared" si="0"/>
        <v>8654888.5</v>
      </c>
      <c r="K18">
        <f t="shared" si="1"/>
        <v>0.36255198434965397</v>
      </c>
    </row>
    <row r="19" spans="1:13" x14ac:dyDescent="0.3">
      <c r="A19" s="3" t="s">
        <v>16</v>
      </c>
      <c r="B19" s="3" t="s">
        <v>38</v>
      </c>
      <c r="C19" s="3" t="s">
        <v>5</v>
      </c>
      <c r="D19" s="4">
        <v>59285</v>
      </c>
      <c r="E19" s="4">
        <v>17566</v>
      </c>
      <c r="G19" s="5" t="s">
        <v>12</v>
      </c>
      <c r="H19" s="7">
        <v>8196376</v>
      </c>
      <c r="I19" s="7">
        <v>3416425</v>
      </c>
      <c r="J19">
        <f t="shared" si="0"/>
        <v>8388413.5</v>
      </c>
      <c r="K19">
        <f t="shared" si="1"/>
        <v>0.40727904030958895</v>
      </c>
    </row>
    <row r="20" spans="1:13" x14ac:dyDescent="0.3">
      <c r="A20" s="3" t="s">
        <v>16</v>
      </c>
      <c r="B20" s="3" t="s">
        <v>38</v>
      </c>
      <c r="C20" s="3" t="s">
        <v>6</v>
      </c>
      <c r="D20" s="4">
        <v>55054</v>
      </c>
      <c r="E20" s="4">
        <v>17396</v>
      </c>
      <c r="G20" s="5" t="s">
        <v>13</v>
      </c>
      <c r="H20" s="7">
        <v>8356585</v>
      </c>
      <c r="I20" s="7">
        <v>5411770</v>
      </c>
      <c r="J20">
        <f t="shared" si="0"/>
        <v>8276480.5</v>
      </c>
      <c r="K20">
        <f t="shared" si="1"/>
        <v>0.65387334628529603</v>
      </c>
    </row>
    <row r="21" spans="1:13" x14ac:dyDescent="0.3">
      <c r="A21" s="3" t="s">
        <v>16</v>
      </c>
      <c r="B21" s="3" t="s">
        <v>38</v>
      </c>
      <c r="C21" s="3" t="s">
        <v>7</v>
      </c>
      <c r="D21" s="4">
        <v>56285</v>
      </c>
      <c r="E21" s="4">
        <v>16044</v>
      </c>
      <c r="G21" s="5" t="s">
        <v>42</v>
      </c>
      <c r="H21" s="7">
        <v>92039237</v>
      </c>
      <c r="I21" s="7">
        <v>35918859</v>
      </c>
      <c r="J21" s="6">
        <f>(H20+H21)/2</f>
        <v>50197911</v>
      </c>
      <c r="K21" s="6">
        <f>I21/J21</f>
        <v>0.71554489588222103</v>
      </c>
    </row>
    <row r="22" spans="1:13" x14ac:dyDescent="0.3">
      <c r="A22" s="3" t="s">
        <v>16</v>
      </c>
      <c r="B22" s="3" t="s">
        <v>38</v>
      </c>
      <c r="C22" s="3" t="s">
        <v>8</v>
      </c>
      <c r="D22" s="4">
        <v>59981</v>
      </c>
      <c r="E22" s="4">
        <v>16571</v>
      </c>
      <c r="G22" s="10" t="s">
        <v>47</v>
      </c>
      <c r="H22" s="9"/>
      <c r="I22" s="9"/>
      <c r="J22" s="10"/>
      <c r="K22" s="10">
        <f>SUM(K10:K20)</f>
        <v>4.3637404600700735</v>
      </c>
    </row>
    <row r="23" spans="1:13" x14ac:dyDescent="0.3">
      <c r="A23" s="3" t="s">
        <v>16</v>
      </c>
      <c r="B23" s="3" t="s">
        <v>38</v>
      </c>
      <c r="C23" s="3" t="s">
        <v>9</v>
      </c>
      <c r="D23" s="4">
        <v>69773</v>
      </c>
      <c r="E23" s="4">
        <v>20891</v>
      </c>
      <c r="G23" s="12" t="s">
        <v>48</v>
      </c>
      <c r="H23" s="11"/>
      <c r="I23" s="15">
        <f>AVERAGE(I9:I20)</f>
        <v>2993238.25</v>
      </c>
    </row>
    <row r="24" spans="1:13" x14ac:dyDescent="0.3">
      <c r="A24" s="3" t="s">
        <v>16</v>
      </c>
      <c r="B24" s="3" t="s">
        <v>38</v>
      </c>
      <c r="C24" s="3" t="s">
        <v>10</v>
      </c>
      <c r="D24" s="4">
        <v>67359</v>
      </c>
      <c r="E24" s="4">
        <v>14431</v>
      </c>
      <c r="G24" s="12" t="s">
        <v>50</v>
      </c>
      <c r="H24" s="11"/>
      <c r="I24" s="12">
        <f>GETPIVOTDATA("Suma de VTA PZS",$G$8,"MES","Diciembre")/I23</f>
        <v>1.8079984110853855</v>
      </c>
    </row>
    <row r="25" spans="1:13" x14ac:dyDescent="0.3">
      <c r="A25" s="3" t="s">
        <v>16</v>
      </c>
      <c r="B25" s="3" t="s">
        <v>38</v>
      </c>
      <c r="C25" s="3" t="s">
        <v>11</v>
      </c>
      <c r="D25" s="4">
        <v>62718</v>
      </c>
      <c r="E25" s="4">
        <v>16801</v>
      </c>
      <c r="G25" s="12" t="s">
        <v>49</v>
      </c>
      <c r="H25" s="11"/>
      <c r="I25" s="12">
        <f>I24*12</f>
        <v>21.695980933024625</v>
      </c>
    </row>
    <row r="26" spans="1:13" x14ac:dyDescent="0.3">
      <c r="A26" s="3" t="s">
        <v>16</v>
      </c>
      <c r="B26" s="3" t="s">
        <v>38</v>
      </c>
      <c r="C26" s="3" t="s">
        <v>12</v>
      </c>
      <c r="D26" s="4">
        <v>61696</v>
      </c>
      <c r="E26" s="4">
        <v>20395</v>
      </c>
      <c r="G26" s="12" t="s">
        <v>56</v>
      </c>
      <c r="H26" s="11"/>
      <c r="I26" s="12">
        <f>I25*30</f>
        <v>650.8794279907388</v>
      </c>
    </row>
    <row r="27" spans="1:13" x14ac:dyDescent="0.3">
      <c r="A27" s="3" t="s">
        <v>16</v>
      </c>
      <c r="B27" s="3" t="s">
        <v>38</v>
      </c>
      <c r="C27" s="3" t="s">
        <v>13</v>
      </c>
      <c r="D27" s="4">
        <v>65445</v>
      </c>
      <c r="E27" s="4">
        <v>35376</v>
      </c>
    </row>
    <row r="28" spans="1:13" x14ac:dyDescent="0.3">
      <c r="A28" s="3" t="s">
        <v>16</v>
      </c>
      <c r="B28" s="3" t="s">
        <v>36</v>
      </c>
      <c r="C28" s="3" t="s">
        <v>2</v>
      </c>
      <c r="D28" s="4">
        <v>17734</v>
      </c>
      <c r="E28" s="4">
        <v>7095</v>
      </c>
      <c r="G28" s="6" t="s">
        <v>65</v>
      </c>
    </row>
    <row r="29" spans="1:13" x14ac:dyDescent="0.3">
      <c r="A29" s="3" t="s">
        <v>16</v>
      </c>
      <c r="B29" s="3" t="s">
        <v>36</v>
      </c>
      <c r="C29" s="3" t="s">
        <v>3</v>
      </c>
      <c r="D29" s="4">
        <v>17243</v>
      </c>
      <c r="E29" s="4">
        <v>5973</v>
      </c>
    </row>
    <row r="30" spans="1:13" x14ac:dyDescent="0.3">
      <c r="A30" s="3" t="s">
        <v>16</v>
      </c>
      <c r="B30" s="3" t="s">
        <v>36</v>
      </c>
      <c r="C30" s="3" t="s">
        <v>4</v>
      </c>
      <c r="D30" s="4">
        <v>19874</v>
      </c>
      <c r="E30" s="4">
        <v>6335</v>
      </c>
      <c r="H30" s="8" t="s">
        <v>61</v>
      </c>
    </row>
    <row r="31" spans="1:13" x14ac:dyDescent="0.3">
      <c r="A31" s="3" t="s">
        <v>16</v>
      </c>
      <c r="B31" s="3" t="s">
        <v>36</v>
      </c>
      <c r="C31" s="3" t="s">
        <v>5</v>
      </c>
      <c r="D31" s="4">
        <v>27929</v>
      </c>
      <c r="E31" s="4">
        <v>6251</v>
      </c>
      <c r="H31" t="s">
        <v>37</v>
      </c>
      <c r="J31" t="s">
        <v>58</v>
      </c>
      <c r="K31" t="s">
        <v>57</v>
      </c>
      <c r="L31" s="10" t="s">
        <v>45</v>
      </c>
      <c r="M31" s="10" t="s">
        <v>59</v>
      </c>
    </row>
    <row r="32" spans="1:13" x14ac:dyDescent="0.3">
      <c r="A32" s="3" t="s">
        <v>16</v>
      </c>
      <c r="B32" s="3" t="s">
        <v>36</v>
      </c>
      <c r="C32" s="3" t="s">
        <v>6</v>
      </c>
      <c r="D32" s="4">
        <v>24215</v>
      </c>
      <c r="E32" s="4">
        <v>7631</v>
      </c>
      <c r="G32" s="8" t="s">
        <v>55</v>
      </c>
      <c r="H32" t="s">
        <v>43</v>
      </c>
      <c r="I32" t="s">
        <v>44</v>
      </c>
    </row>
    <row r="33" spans="1:13" x14ac:dyDescent="0.3">
      <c r="A33" s="3" t="s">
        <v>16</v>
      </c>
      <c r="B33" s="3" t="s">
        <v>36</v>
      </c>
      <c r="C33" s="3" t="s">
        <v>7</v>
      </c>
      <c r="D33" s="4">
        <v>23199</v>
      </c>
      <c r="E33" s="4">
        <v>6980</v>
      </c>
      <c r="G33" s="5" t="s">
        <v>2</v>
      </c>
      <c r="H33" s="7">
        <v>1526601</v>
      </c>
      <c r="I33" s="7">
        <v>627683</v>
      </c>
      <c r="J33" s="7">
        <v>1526601</v>
      </c>
      <c r="K33" s="7">
        <v>627683</v>
      </c>
    </row>
    <row r="34" spans="1:13" x14ac:dyDescent="0.3">
      <c r="A34" s="3" t="s">
        <v>16</v>
      </c>
      <c r="B34" s="3" t="s">
        <v>36</v>
      </c>
      <c r="C34" s="3" t="s">
        <v>8</v>
      </c>
      <c r="D34" s="4">
        <v>24971</v>
      </c>
      <c r="E34" s="4">
        <v>7097</v>
      </c>
      <c r="G34" s="5" t="s">
        <v>3</v>
      </c>
      <c r="H34" s="7">
        <v>1888024</v>
      </c>
      <c r="I34" s="7">
        <v>774519</v>
      </c>
      <c r="J34" s="7">
        <v>1888024</v>
      </c>
      <c r="K34" s="7">
        <v>774519</v>
      </c>
      <c r="L34">
        <f>(H33+H34)/2</f>
        <v>1707312.5</v>
      </c>
      <c r="M34">
        <f>I34/L34</f>
        <v>0.4536480579858696</v>
      </c>
    </row>
    <row r="35" spans="1:13" x14ac:dyDescent="0.3">
      <c r="A35" s="3" t="s">
        <v>16</v>
      </c>
      <c r="B35" s="3" t="s">
        <v>36</v>
      </c>
      <c r="C35" s="3" t="s">
        <v>9</v>
      </c>
      <c r="D35" s="4">
        <v>24013</v>
      </c>
      <c r="E35" s="4">
        <v>7972</v>
      </c>
      <c r="G35" s="5" t="s">
        <v>4</v>
      </c>
      <c r="H35" s="7">
        <v>2121438</v>
      </c>
      <c r="I35" s="7">
        <v>882912</v>
      </c>
      <c r="J35" s="7">
        <v>2121438</v>
      </c>
      <c r="K35" s="7">
        <v>882912</v>
      </c>
      <c r="L35">
        <f t="shared" ref="L35:L38" si="2">(H34+H35)/2</f>
        <v>2004731</v>
      </c>
      <c r="M35">
        <f t="shared" ref="M35:M44" si="3">I35/L35</f>
        <v>0.44041420020940464</v>
      </c>
    </row>
    <row r="36" spans="1:13" x14ac:dyDescent="0.3">
      <c r="A36" s="3" t="s">
        <v>16</v>
      </c>
      <c r="B36" s="3" t="s">
        <v>36</v>
      </c>
      <c r="C36" s="3" t="s">
        <v>10</v>
      </c>
      <c r="D36" s="4">
        <v>31974</v>
      </c>
      <c r="E36" s="4">
        <v>6708</v>
      </c>
      <c r="G36" s="5" t="s">
        <v>5</v>
      </c>
      <c r="H36" s="7">
        <v>1911749</v>
      </c>
      <c r="I36" s="7">
        <v>718152</v>
      </c>
      <c r="J36" s="7">
        <v>1911749</v>
      </c>
      <c r="K36" s="7">
        <v>718152</v>
      </c>
      <c r="L36">
        <f t="shared" si="2"/>
        <v>2016593.5</v>
      </c>
      <c r="M36">
        <f t="shared" si="3"/>
        <v>0.35612135018782914</v>
      </c>
    </row>
    <row r="37" spans="1:13" x14ac:dyDescent="0.3">
      <c r="A37" s="3" t="s">
        <v>16</v>
      </c>
      <c r="B37" s="3" t="s">
        <v>36</v>
      </c>
      <c r="C37" s="3" t="s">
        <v>11</v>
      </c>
      <c r="D37" s="4">
        <v>36204</v>
      </c>
      <c r="E37" s="4">
        <v>8989</v>
      </c>
      <c r="G37" s="5" t="s">
        <v>6</v>
      </c>
      <c r="H37" s="7">
        <v>1793745</v>
      </c>
      <c r="I37" s="7">
        <v>774047</v>
      </c>
      <c r="J37" s="7">
        <v>1793745</v>
      </c>
      <c r="K37" s="7">
        <v>774047</v>
      </c>
      <c r="L37">
        <f>(H36+H37)/2</f>
        <v>1852747</v>
      </c>
      <c r="M37">
        <f t="shared" si="3"/>
        <v>0.41778343184471489</v>
      </c>
    </row>
    <row r="38" spans="1:13" x14ac:dyDescent="0.3">
      <c r="A38" s="3" t="s">
        <v>16</v>
      </c>
      <c r="B38" s="3" t="s">
        <v>36</v>
      </c>
      <c r="C38" s="3" t="s">
        <v>12</v>
      </c>
      <c r="D38" s="4">
        <v>35195</v>
      </c>
      <c r="E38" s="4">
        <v>10509</v>
      </c>
      <c r="G38" s="5" t="s">
        <v>7</v>
      </c>
      <c r="H38" s="7">
        <v>2186167</v>
      </c>
      <c r="I38" s="7">
        <v>860178</v>
      </c>
      <c r="J38" s="7">
        <v>2186167</v>
      </c>
      <c r="K38" s="7">
        <v>860178</v>
      </c>
      <c r="L38">
        <f t="shared" ref="L38:L45" si="4">(H37+H38)/2</f>
        <v>1989956</v>
      </c>
      <c r="M38">
        <f t="shared" si="3"/>
        <v>0.43225980875959069</v>
      </c>
    </row>
    <row r="39" spans="1:13" x14ac:dyDescent="0.3">
      <c r="A39" s="3" t="s">
        <v>16</v>
      </c>
      <c r="B39" s="3" t="s">
        <v>36</v>
      </c>
      <c r="C39" s="3" t="s">
        <v>13</v>
      </c>
      <c r="D39" s="4">
        <v>38290</v>
      </c>
      <c r="E39" s="4">
        <v>19045</v>
      </c>
      <c r="G39" s="5" t="s">
        <v>8</v>
      </c>
      <c r="H39" s="7">
        <v>1905412</v>
      </c>
      <c r="I39" s="7">
        <v>748825</v>
      </c>
      <c r="J39" s="7">
        <v>1905412</v>
      </c>
      <c r="K39" s="7">
        <v>748825</v>
      </c>
      <c r="L39">
        <f t="shared" si="4"/>
        <v>2045789.5</v>
      </c>
      <c r="M39">
        <f t="shared" si="3"/>
        <v>0.36603228240246616</v>
      </c>
    </row>
    <row r="40" spans="1:13" x14ac:dyDescent="0.3">
      <c r="A40" s="3" t="s">
        <v>16</v>
      </c>
      <c r="B40" s="3" t="s">
        <v>35</v>
      </c>
      <c r="C40" s="3" t="s">
        <v>2</v>
      </c>
      <c r="D40" s="4">
        <v>54045</v>
      </c>
      <c r="E40" s="4">
        <v>18223</v>
      </c>
      <c r="G40" s="5" t="s">
        <v>9</v>
      </c>
      <c r="H40" s="7">
        <v>2069696</v>
      </c>
      <c r="I40" s="7">
        <v>951691</v>
      </c>
      <c r="J40" s="7">
        <v>2069696</v>
      </c>
      <c r="K40" s="7">
        <v>951691</v>
      </c>
      <c r="L40">
        <f t="shared" si="4"/>
        <v>1987554</v>
      </c>
      <c r="M40">
        <f t="shared" si="3"/>
        <v>0.47882522940257222</v>
      </c>
    </row>
    <row r="41" spans="1:13" x14ac:dyDescent="0.3">
      <c r="A41" s="3" t="s">
        <v>16</v>
      </c>
      <c r="B41" s="3" t="s">
        <v>35</v>
      </c>
      <c r="C41" s="3" t="s">
        <v>3</v>
      </c>
      <c r="D41" s="4">
        <v>70397</v>
      </c>
      <c r="E41" s="4">
        <v>18606</v>
      </c>
      <c r="G41" s="5" t="s">
        <v>10</v>
      </c>
      <c r="H41" s="7">
        <v>2186571</v>
      </c>
      <c r="I41" s="7">
        <v>765561</v>
      </c>
      <c r="J41" s="7">
        <v>2186571</v>
      </c>
      <c r="K41" s="7">
        <v>765561</v>
      </c>
      <c r="L41">
        <f t="shared" si="4"/>
        <v>2128133.5</v>
      </c>
      <c r="M41">
        <f t="shared" si="3"/>
        <v>0.35973354115237599</v>
      </c>
    </row>
    <row r="42" spans="1:13" x14ac:dyDescent="0.3">
      <c r="A42" s="3" t="s">
        <v>16</v>
      </c>
      <c r="B42" s="3" t="s">
        <v>35</v>
      </c>
      <c r="C42" s="3" t="s">
        <v>4</v>
      </c>
      <c r="D42" s="4">
        <v>103499</v>
      </c>
      <c r="E42" s="4">
        <v>25097</v>
      </c>
      <c r="G42" s="5" t="s">
        <v>11</v>
      </c>
      <c r="H42" s="7">
        <v>1894661</v>
      </c>
      <c r="I42" s="7">
        <v>738387</v>
      </c>
      <c r="J42" s="7">
        <v>1894661</v>
      </c>
      <c r="K42" s="7">
        <v>738387</v>
      </c>
      <c r="L42">
        <f t="shared" si="4"/>
        <v>2040616</v>
      </c>
      <c r="M42">
        <f t="shared" si="3"/>
        <v>0.36184514871979834</v>
      </c>
    </row>
    <row r="43" spans="1:13" x14ac:dyDescent="0.3">
      <c r="A43" s="3" t="s">
        <v>16</v>
      </c>
      <c r="B43" s="3" t="s">
        <v>35</v>
      </c>
      <c r="C43" s="3" t="s">
        <v>5</v>
      </c>
      <c r="D43" s="4">
        <v>100986</v>
      </c>
      <c r="E43" s="4">
        <v>25657</v>
      </c>
      <c r="G43" s="5" t="s">
        <v>12</v>
      </c>
      <c r="H43" s="7">
        <v>1740044</v>
      </c>
      <c r="I43" s="7">
        <v>852348</v>
      </c>
      <c r="J43" s="7">
        <v>1740044</v>
      </c>
      <c r="K43" s="7">
        <v>852348</v>
      </c>
      <c r="L43">
        <f t="shared" si="4"/>
        <v>1817352.5</v>
      </c>
      <c r="M43">
        <f t="shared" si="3"/>
        <v>0.4690053250538902</v>
      </c>
    </row>
    <row r="44" spans="1:13" x14ac:dyDescent="0.3">
      <c r="A44" s="3" t="s">
        <v>16</v>
      </c>
      <c r="B44" s="3" t="s">
        <v>35</v>
      </c>
      <c r="C44" s="3" t="s">
        <v>6</v>
      </c>
      <c r="D44" s="4">
        <v>91882</v>
      </c>
      <c r="E44" s="4">
        <v>22523</v>
      </c>
      <c r="G44" s="5" t="s">
        <v>13</v>
      </c>
      <c r="H44" s="7">
        <v>1924756</v>
      </c>
      <c r="I44" s="7">
        <v>1192780</v>
      </c>
      <c r="J44" s="7">
        <v>1924756</v>
      </c>
      <c r="K44" s="7">
        <v>1192780</v>
      </c>
      <c r="L44">
        <f>(H43+H44)/2</f>
        <v>1832400</v>
      </c>
      <c r="M44">
        <f t="shared" si="3"/>
        <v>0.65093865968129228</v>
      </c>
    </row>
    <row r="45" spans="1:13" x14ac:dyDescent="0.3">
      <c r="A45" s="3" t="s">
        <v>16</v>
      </c>
      <c r="B45" s="3" t="s">
        <v>35</v>
      </c>
      <c r="C45" s="3" t="s">
        <v>7</v>
      </c>
      <c r="D45" s="4">
        <v>78130</v>
      </c>
      <c r="E45" s="4">
        <v>18428</v>
      </c>
      <c r="G45" s="5" t="s">
        <v>42</v>
      </c>
      <c r="H45" s="7">
        <v>23148864</v>
      </c>
      <c r="I45" s="7">
        <v>9887083</v>
      </c>
      <c r="J45" s="7">
        <v>23148864</v>
      </c>
      <c r="K45" s="7">
        <v>9887083</v>
      </c>
      <c r="L45" s="10">
        <f t="shared" si="4"/>
        <v>12536810</v>
      </c>
      <c r="M45" s="10">
        <f>I45/L45</f>
        <v>0.7886442404407501</v>
      </c>
    </row>
    <row r="46" spans="1:13" x14ac:dyDescent="0.3">
      <c r="A46" s="3" t="s">
        <v>16</v>
      </c>
      <c r="B46" s="3" t="s">
        <v>35</v>
      </c>
      <c r="C46" s="3" t="s">
        <v>8</v>
      </c>
      <c r="D46" s="4">
        <v>70982</v>
      </c>
      <c r="E46" s="4">
        <v>20204</v>
      </c>
      <c r="G46" s="13" t="s">
        <v>51</v>
      </c>
      <c r="H46" s="9"/>
      <c r="I46" s="9"/>
      <c r="J46" s="9"/>
      <c r="K46" s="9"/>
      <c r="L46" s="10"/>
      <c r="M46" s="10">
        <f>SUM(M34:M44)</f>
        <v>4.786607035399804</v>
      </c>
    </row>
    <row r="47" spans="1:13" x14ac:dyDescent="0.3">
      <c r="A47" s="3" t="s">
        <v>16</v>
      </c>
      <c r="B47" s="3" t="s">
        <v>35</v>
      </c>
      <c r="C47" s="3" t="s">
        <v>9</v>
      </c>
      <c r="D47" s="4">
        <v>68428</v>
      </c>
      <c r="E47" s="4">
        <v>19898</v>
      </c>
      <c r="G47" s="12" t="s">
        <v>48</v>
      </c>
      <c r="H47" s="11"/>
      <c r="I47" s="15">
        <f>AVERAGE(I33, I34, I35, I36, I37, I38, I39, I40,I41,I42,I43,I44)</f>
        <v>823923.58333333337</v>
      </c>
    </row>
    <row r="48" spans="1:13" x14ac:dyDescent="0.3">
      <c r="A48" s="3" t="s">
        <v>16</v>
      </c>
      <c r="B48" s="3" t="s">
        <v>35</v>
      </c>
      <c r="C48" s="3" t="s">
        <v>10</v>
      </c>
      <c r="D48" s="4">
        <v>84121</v>
      </c>
      <c r="E48" s="4">
        <v>24426</v>
      </c>
      <c r="G48" s="12" t="s">
        <v>50</v>
      </c>
      <c r="H48" s="11"/>
      <c r="I48" s="12">
        <f>GETPIVOTDATA("Suma de VTA PZS",$G$8,"MES","Mayo")/I47</f>
        <v>3.1670036551731182</v>
      </c>
    </row>
    <row r="49" spans="1:9" x14ac:dyDescent="0.3">
      <c r="A49" s="3" t="s">
        <v>16</v>
      </c>
      <c r="B49" s="3" t="s">
        <v>35</v>
      </c>
      <c r="C49" s="3" t="s">
        <v>11</v>
      </c>
      <c r="D49" s="4">
        <v>89186</v>
      </c>
      <c r="E49" s="4">
        <v>33725</v>
      </c>
      <c r="G49" s="12" t="s">
        <v>49</v>
      </c>
      <c r="H49" s="11"/>
      <c r="I49" s="12">
        <f>I48*12</f>
        <v>38.004043862077417</v>
      </c>
    </row>
    <row r="50" spans="1:9" x14ac:dyDescent="0.3">
      <c r="A50" s="3" t="s">
        <v>16</v>
      </c>
      <c r="B50" s="3" t="s">
        <v>35</v>
      </c>
      <c r="C50" s="3" t="s">
        <v>12</v>
      </c>
      <c r="D50" s="4">
        <v>77908</v>
      </c>
      <c r="E50" s="4">
        <v>38385</v>
      </c>
      <c r="G50" s="12" t="s">
        <v>56</v>
      </c>
      <c r="H50" s="11"/>
      <c r="I50" s="12">
        <f>I49*30</f>
        <v>1140.1213158623225</v>
      </c>
    </row>
    <row r="51" spans="1:9" x14ac:dyDescent="0.3">
      <c r="A51" s="3" t="s">
        <v>16</v>
      </c>
      <c r="B51" s="3" t="s">
        <v>35</v>
      </c>
      <c r="C51" s="3" t="s">
        <v>13</v>
      </c>
      <c r="D51" s="4">
        <v>80181</v>
      </c>
      <c r="E51" s="4">
        <v>65560</v>
      </c>
    </row>
    <row r="52" spans="1:9" x14ac:dyDescent="0.3">
      <c r="A52" s="3" t="s">
        <v>16</v>
      </c>
      <c r="B52" s="3" t="s">
        <v>34</v>
      </c>
      <c r="C52" s="3" t="s">
        <v>2</v>
      </c>
      <c r="D52" s="4">
        <v>2056</v>
      </c>
      <c r="E52" s="4">
        <v>215</v>
      </c>
    </row>
    <row r="53" spans="1:9" x14ac:dyDescent="0.3">
      <c r="A53" s="3" t="s">
        <v>16</v>
      </c>
      <c r="B53" s="3" t="s">
        <v>34</v>
      </c>
      <c r="C53" s="3" t="s">
        <v>3</v>
      </c>
      <c r="D53" s="4">
        <v>1739</v>
      </c>
      <c r="E53" s="4">
        <v>129</v>
      </c>
    </row>
    <row r="54" spans="1:9" x14ac:dyDescent="0.3">
      <c r="A54" s="3" t="s">
        <v>16</v>
      </c>
      <c r="B54" s="3" t="s">
        <v>34</v>
      </c>
      <c r="C54" s="3" t="s">
        <v>4</v>
      </c>
      <c r="D54" s="4">
        <v>1617</v>
      </c>
      <c r="E54" s="4">
        <v>93</v>
      </c>
    </row>
    <row r="55" spans="1:9" x14ac:dyDescent="0.3">
      <c r="A55" s="3" t="s">
        <v>16</v>
      </c>
      <c r="B55" s="3" t="s">
        <v>34</v>
      </c>
      <c r="C55" s="3" t="s">
        <v>5</v>
      </c>
      <c r="D55" s="4">
        <v>1549</v>
      </c>
      <c r="E55" s="4">
        <v>79</v>
      </c>
    </row>
    <row r="56" spans="1:9" x14ac:dyDescent="0.3">
      <c r="A56" s="3" t="s">
        <v>16</v>
      </c>
      <c r="B56" s="3" t="s">
        <v>34</v>
      </c>
      <c r="C56" s="3" t="s">
        <v>6</v>
      </c>
      <c r="D56" s="4">
        <v>1184</v>
      </c>
      <c r="E56" s="4">
        <v>129</v>
      </c>
    </row>
    <row r="57" spans="1:9" x14ac:dyDescent="0.3">
      <c r="A57" s="3" t="s">
        <v>16</v>
      </c>
      <c r="B57" s="3" t="s">
        <v>34</v>
      </c>
      <c r="C57" s="3" t="s">
        <v>7</v>
      </c>
      <c r="D57" s="4">
        <v>4867</v>
      </c>
      <c r="E57" s="4">
        <v>570</v>
      </c>
    </row>
    <row r="58" spans="1:9" x14ac:dyDescent="0.3">
      <c r="A58" s="3" t="s">
        <v>16</v>
      </c>
      <c r="B58" s="3" t="s">
        <v>34</v>
      </c>
      <c r="C58" s="3" t="s">
        <v>8</v>
      </c>
      <c r="D58" s="4">
        <v>7359</v>
      </c>
      <c r="E58" s="4">
        <v>1635</v>
      </c>
    </row>
    <row r="59" spans="1:9" x14ac:dyDescent="0.3">
      <c r="A59" s="3" t="s">
        <v>16</v>
      </c>
      <c r="B59" s="3" t="s">
        <v>34</v>
      </c>
      <c r="C59" s="3" t="s">
        <v>9</v>
      </c>
      <c r="D59" s="4">
        <v>6383</v>
      </c>
      <c r="E59" s="4">
        <v>2663</v>
      </c>
    </row>
    <row r="60" spans="1:9" x14ac:dyDescent="0.3">
      <c r="A60" s="3" t="s">
        <v>16</v>
      </c>
      <c r="B60" s="3" t="s">
        <v>34</v>
      </c>
      <c r="C60" s="3" t="s">
        <v>10</v>
      </c>
      <c r="D60" s="4">
        <v>4065</v>
      </c>
      <c r="E60" s="4">
        <v>236</v>
      </c>
    </row>
    <row r="61" spans="1:9" x14ac:dyDescent="0.3">
      <c r="A61" s="3" t="s">
        <v>16</v>
      </c>
      <c r="B61" s="3" t="s">
        <v>34</v>
      </c>
      <c r="C61" s="3" t="s">
        <v>11</v>
      </c>
      <c r="D61" s="4">
        <v>3556</v>
      </c>
      <c r="E61" s="4">
        <v>430</v>
      </c>
    </row>
    <row r="62" spans="1:9" x14ac:dyDescent="0.3">
      <c r="A62" s="3" t="s">
        <v>16</v>
      </c>
      <c r="B62" s="3" t="s">
        <v>34</v>
      </c>
      <c r="C62" s="3" t="s">
        <v>12</v>
      </c>
      <c r="D62" s="4">
        <v>4307</v>
      </c>
      <c r="E62" s="4">
        <v>1008</v>
      </c>
    </row>
    <row r="63" spans="1:9" x14ac:dyDescent="0.3">
      <c r="A63" s="3" t="s">
        <v>16</v>
      </c>
      <c r="B63" s="3" t="s">
        <v>34</v>
      </c>
      <c r="C63" s="3" t="s">
        <v>13</v>
      </c>
      <c r="D63" s="4">
        <v>3329</v>
      </c>
      <c r="E63" s="4">
        <v>355</v>
      </c>
    </row>
    <row r="64" spans="1:9" x14ac:dyDescent="0.3">
      <c r="A64" s="3" t="s">
        <v>17</v>
      </c>
      <c r="B64" s="3" t="s">
        <v>37</v>
      </c>
      <c r="C64" s="3" t="s">
        <v>2</v>
      </c>
      <c r="D64" s="4">
        <v>89546</v>
      </c>
      <c r="E64" s="4">
        <v>42001</v>
      </c>
    </row>
    <row r="65" spans="1:5" x14ac:dyDescent="0.3">
      <c r="A65" s="3" t="s">
        <v>17</v>
      </c>
      <c r="B65" s="3" t="s">
        <v>37</v>
      </c>
      <c r="C65" s="3" t="s">
        <v>3</v>
      </c>
      <c r="D65" s="4">
        <v>119821</v>
      </c>
      <c r="E65" s="4">
        <v>51017</v>
      </c>
    </row>
    <row r="66" spans="1:5" x14ac:dyDescent="0.3">
      <c r="A66" s="3" t="s">
        <v>17</v>
      </c>
      <c r="B66" s="3" t="s">
        <v>37</v>
      </c>
      <c r="C66" s="3" t="s">
        <v>4</v>
      </c>
      <c r="D66" s="4">
        <v>138047</v>
      </c>
      <c r="E66" s="4">
        <v>58368</v>
      </c>
    </row>
    <row r="67" spans="1:5" x14ac:dyDescent="0.3">
      <c r="A67" s="3" t="s">
        <v>17</v>
      </c>
      <c r="B67" s="3" t="s">
        <v>37</v>
      </c>
      <c r="C67" s="3" t="s">
        <v>5</v>
      </c>
      <c r="D67" s="4">
        <v>118615</v>
      </c>
      <c r="E67" s="4">
        <v>47144</v>
      </c>
    </row>
    <row r="68" spans="1:5" x14ac:dyDescent="0.3">
      <c r="A68" s="3" t="s">
        <v>17</v>
      </c>
      <c r="B68" s="3" t="s">
        <v>37</v>
      </c>
      <c r="C68" s="3" t="s">
        <v>6</v>
      </c>
      <c r="D68" s="4">
        <v>112046</v>
      </c>
      <c r="E68" s="4">
        <v>52163</v>
      </c>
    </row>
    <row r="69" spans="1:5" x14ac:dyDescent="0.3">
      <c r="A69" s="3" t="s">
        <v>17</v>
      </c>
      <c r="B69" s="3" t="s">
        <v>37</v>
      </c>
      <c r="C69" s="3" t="s">
        <v>7</v>
      </c>
      <c r="D69" s="4">
        <v>141993</v>
      </c>
      <c r="E69" s="4">
        <v>58718</v>
      </c>
    </row>
    <row r="70" spans="1:5" x14ac:dyDescent="0.3">
      <c r="A70" s="3" t="s">
        <v>17</v>
      </c>
      <c r="B70" s="3" t="s">
        <v>37</v>
      </c>
      <c r="C70" s="3" t="s">
        <v>8</v>
      </c>
      <c r="D70" s="4">
        <v>124936</v>
      </c>
      <c r="E70" s="4">
        <v>49982</v>
      </c>
    </row>
    <row r="71" spans="1:5" x14ac:dyDescent="0.3">
      <c r="A71" s="3" t="s">
        <v>17</v>
      </c>
      <c r="B71" s="3" t="s">
        <v>37</v>
      </c>
      <c r="C71" s="3" t="s">
        <v>9</v>
      </c>
      <c r="D71" s="4">
        <v>137724</v>
      </c>
      <c r="E71" s="4">
        <v>64927</v>
      </c>
    </row>
    <row r="72" spans="1:5" x14ac:dyDescent="0.3">
      <c r="A72" s="3" t="s">
        <v>17</v>
      </c>
      <c r="B72" s="3" t="s">
        <v>37</v>
      </c>
      <c r="C72" s="3" t="s">
        <v>10</v>
      </c>
      <c r="D72" s="4">
        <v>143889</v>
      </c>
      <c r="E72" s="4">
        <v>51160</v>
      </c>
    </row>
    <row r="73" spans="1:5" x14ac:dyDescent="0.3">
      <c r="A73" s="3" t="s">
        <v>17</v>
      </c>
      <c r="B73" s="3" t="s">
        <v>37</v>
      </c>
      <c r="C73" s="3" t="s">
        <v>11</v>
      </c>
      <c r="D73" s="4">
        <v>119604</v>
      </c>
      <c r="E73" s="4">
        <v>49230</v>
      </c>
    </row>
    <row r="74" spans="1:5" x14ac:dyDescent="0.3">
      <c r="A74" s="3" t="s">
        <v>17</v>
      </c>
      <c r="B74" s="3" t="s">
        <v>37</v>
      </c>
      <c r="C74" s="3" t="s">
        <v>12</v>
      </c>
      <c r="D74" s="4">
        <v>106895</v>
      </c>
      <c r="E74" s="4">
        <v>55456</v>
      </c>
    </row>
    <row r="75" spans="1:5" x14ac:dyDescent="0.3">
      <c r="A75" s="3" t="s">
        <v>17</v>
      </c>
      <c r="B75" s="3" t="s">
        <v>37</v>
      </c>
      <c r="C75" s="3" t="s">
        <v>13</v>
      </c>
      <c r="D75" s="4">
        <v>121369</v>
      </c>
      <c r="E75" s="4">
        <v>83359</v>
      </c>
    </row>
    <row r="76" spans="1:5" x14ac:dyDescent="0.3">
      <c r="A76" s="3" t="s">
        <v>17</v>
      </c>
      <c r="B76" s="3" t="s">
        <v>38</v>
      </c>
      <c r="C76" s="3" t="s">
        <v>2</v>
      </c>
      <c r="D76" s="4">
        <v>87968</v>
      </c>
      <c r="E76" s="4">
        <v>31784</v>
      </c>
    </row>
    <row r="77" spans="1:5" x14ac:dyDescent="0.3">
      <c r="A77" s="3" t="s">
        <v>17</v>
      </c>
      <c r="B77" s="3" t="s">
        <v>38</v>
      </c>
      <c r="C77" s="3" t="s">
        <v>3</v>
      </c>
      <c r="D77" s="4">
        <v>114935</v>
      </c>
      <c r="E77" s="4">
        <v>38724</v>
      </c>
    </row>
    <row r="78" spans="1:5" x14ac:dyDescent="0.3">
      <c r="A78" s="3" t="s">
        <v>17</v>
      </c>
      <c r="B78" s="3" t="s">
        <v>38</v>
      </c>
      <c r="C78" s="3" t="s">
        <v>4</v>
      </c>
      <c r="D78" s="4">
        <v>135086</v>
      </c>
      <c r="E78" s="4">
        <v>54651</v>
      </c>
    </row>
    <row r="79" spans="1:5" x14ac:dyDescent="0.3">
      <c r="A79" s="3" t="s">
        <v>17</v>
      </c>
      <c r="B79" s="3" t="s">
        <v>38</v>
      </c>
      <c r="C79" s="3" t="s">
        <v>5</v>
      </c>
      <c r="D79" s="4">
        <v>117091</v>
      </c>
      <c r="E79" s="4">
        <v>38480</v>
      </c>
    </row>
    <row r="80" spans="1:5" x14ac:dyDescent="0.3">
      <c r="A80" s="3" t="s">
        <v>17</v>
      </c>
      <c r="B80" s="3" t="s">
        <v>38</v>
      </c>
      <c r="C80" s="3" t="s">
        <v>6</v>
      </c>
      <c r="D80" s="4">
        <v>110561</v>
      </c>
      <c r="E80" s="4">
        <v>41920</v>
      </c>
    </row>
    <row r="81" spans="1:5" x14ac:dyDescent="0.3">
      <c r="A81" s="3" t="s">
        <v>17</v>
      </c>
      <c r="B81" s="3" t="s">
        <v>38</v>
      </c>
      <c r="C81" s="3" t="s">
        <v>7</v>
      </c>
      <c r="D81" s="4">
        <v>117231</v>
      </c>
      <c r="E81" s="4">
        <v>40653</v>
      </c>
    </row>
    <row r="82" spans="1:5" x14ac:dyDescent="0.3">
      <c r="A82" s="3" t="s">
        <v>17</v>
      </c>
      <c r="B82" s="3" t="s">
        <v>38</v>
      </c>
      <c r="C82" s="3" t="s">
        <v>8</v>
      </c>
      <c r="D82" s="4">
        <v>142332</v>
      </c>
      <c r="E82" s="4">
        <v>51373</v>
      </c>
    </row>
    <row r="83" spans="1:5" x14ac:dyDescent="0.3">
      <c r="A83" s="3" t="s">
        <v>17</v>
      </c>
      <c r="B83" s="3" t="s">
        <v>38</v>
      </c>
      <c r="C83" s="3" t="s">
        <v>9</v>
      </c>
      <c r="D83" s="4">
        <v>168358</v>
      </c>
      <c r="E83" s="4">
        <v>68107</v>
      </c>
    </row>
    <row r="84" spans="1:5" x14ac:dyDescent="0.3">
      <c r="A84" s="3" t="s">
        <v>17</v>
      </c>
      <c r="B84" s="3" t="s">
        <v>38</v>
      </c>
      <c r="C84" s="3" t="s">
        <v>10</v>
      </c>
      <c r="D84" s="4">
        <v>154925</v>
      </c>
      <c r="E84" s="4">
        <v>39597</v>
      </c>
    </row>
    <row r="85" spans="1:5" x14ac:dyDescent="0.3">
      <c r="A85" s="3" t="s">
        <v>17</v>
      </c>
      <c r="B85" s="3" t="s">
        <v>38</v>
      </c>
      <c r="C85" s="3" t="s">
        <v>11</v>
      </c>
      <c r="D85" s="4">
        <v>138662</v>
      </c>
      <c r="E85" s="4">
        <v>42322</v>
      </c>
    </row>
    <row r="86" spans="1:5" x14ac:dyDescent="0.3">
      <c r="A86" s="3" t="s">
        <v>17</v>
      </c>
      <c r="B86" s="3" t="s">
        <v>38</v>
      </c>
      <c r="C86" s="3" t="s">
        <v>12</v>
      </c>
      <c r="D86" s="4">
        <v>129168</v>
      </c>
      <c r="E86" s="4">
        <v>45852</v>
      </c>
    </row>
    <row r="87" spans="1:5" x14ac:dyDescent="0.3">
      <c r="A87" s="3" t="s">
        <v>17</v>
      </c>
      <c r="B87" s="3" t="s">
        <v>38</v>
      </c>
      <c r="C87" s="3" t="s">
        <v>13</v>
      </c>
      <c r="D87" s="4">
        <v>132272</v>
      </c>
      <c r="E87" s="4">
        <v>80002</v>
      </c>
    </row>
    <row r="88" spans="1:5" x14ac:dyDescent="0.3">
      <c r="A88" s="3" t="s">
        <v>17</v>
      </c>
      <c r="B88" s="3" t="s">
        <v>36</v>
      </c>
      <c r="C88" s="3" t="s">
        <v>2</v>
      </c>
      <c r="D88" s="4">
        <v>40507</v>
      </c>
      <c r="E88" s="4">
        <v>17332</v>
      </c>
    </row>
    <row r="89" spans="1:5" x14ac:dyDescent="0.3">
      <c r="A89" s="3" t="s">
        <v>17</v>
      </c>
      <c r="B89" s="3" t="s">
        <v>36</v>
      </c>
      <c r="C89" s="3" t="s">
        <v>3</v>
      </c>
      <c r="D89" s="4">
        <v>38465</v>
      </c>
      <c r="E89" s="4">
        <v>13496</v>
      </c>
    </row>
    <row r="90" spans="1:5" x14ac:dyDescent="0.3">
      <c r="A90" s="3" t="s">
        <v>17</v>
      </c>
      <c r="B90" s="3" t="s">
        <v>36</v>
      </c>
      <c r="C90" s="3" t="s">
        <v>4</v>
      </c>
      <c r="D90" s="4">
        <v>42821</v>
      </c>
      <c r="E90" s="4">
        <v>15843</v>
      </c>
    </row>
    <row r="91" spans="1:5" x14ac:dyDescent="0.3">
      <c r="A91" s="3" t="s">
        <v>17</v>
      </c>
      <c r="B91" s="3" t="s">
        <v>36</v>
      </c>
      <c r="C91" s="3" t="s">
        <v>5</v>
      </c>
      <c r="D91" s="4">
        <v>55211</v>
      </c>
      <c r="E91" s="4">
        <v>13914</v>
      </c>
    </row>
    <row r="92" spans="1:5" x14ac:dyDescent="0.3">
      <c r="A92" s="3" t="s">
        <v>17</v>
      </c>
      <c r="B92" s="3" t="s">
        <v>36</v>
      </c>
      <c r="C92" s="3" t="s">
        <v>6</v>
      </c>
      <c r="D92" s="4">
        <v>47720</v>
      </c>
      <c r="E92" s="4">
        <v>15115</v>
      </c>
    </row>
    <row r="93" spans="1:5" x14ac:dyDescent="0.3">
      <c r="A93" s="3" t="s">
        <v>17</v>
      </c>
      <c r="B93" s="3" t="s">
        <v>36</v>
      </c>
      <c r="C93" s="3" t="s">
        <v>7</v>
      </c>
      <c r="D93" s="4">
        <v>41318</v>
      </c>
      <c r="E93" s="4">
        <v>16419</v>
      </c>
    </row>
    <row r="94" spans="1:5" x14ac:dyDescent="0.3">
      <c r="A94" s="3" t="s">
        <v>17</v>
      </c>
      <c r="B94" s="3" t="s">
        <v>36</v>
      </c>
      <c r="C94" s="3" t="s">
        <v>8</v>
      </c>
      <c r="D94" s="4">
        <v>44280</v>
      </c>
      <c r="E94" s="4">
        <v>16050</v>
      </c>
    </row>
    <row r="95" spans="1:5" x14ac:dyDescent="0.3">
      <c r="A95" s="3" t="s">
        <v>17</v>
      </c>
      <c r="B95" s="3" t="s">
        <v>36</v>
      </c>
      <c r="C95" s="3" t="s">
        <v>9</v>
      </c>
      <c r="D95" s="4">
        <v>41623</v>
      </c>
      <c r="E95" s="4">
        <v>21757</v>
      </c>
    </row>
    <row r="96" spans="1:5" x14ac:dyDescent="0.3">
      <c r="A96" s="3" t="s">
        <v>17</v>
      </c>
      <c r="B96" s="3" t="s">
        <v>36</v>
      </c>
      <c r="C96" s="3" t="s">
        <v>10</v>
      </c>
      <c r="D96" s="4">
        <v>63722</v>
      </c>
      <c r="E96" s="4">
        <v>16121</v>
      </c>
    </row>
    <row r="97" spans="1:5" x14ac:dyDescent="0.3">
      <c r="A97" s="3" t="s">
        <v>17</v>
      </c>
      <c r="B97" s="3" t="s">
        <v>36</v>
      </c>
      <c r="C97" s="3" t="s">
        <v>11</v>
      </c>
      <c r="D97" s="4">
        <v>76633</v>
      </c>
      <c r="E97" s="4">
        <v>19414</v>
      </c>
    </row>
    <row r="98" spans="1:5" x14ac:dyDescent="0.3">
      <c r="A98" s="3" t="s">
        <v>17</v>
      </c>
      <c r="B98" s="3" t="s">
        <v>36</v>
      </c>
      <c r="C98" s="3" t="s">
        <v>12</v>
      </c>
      <c r="D98" s="4">
        <v>74750</v>
      </c>
      <c r="E98" s="4">
        <v>23397</v>
      </c>
    </row>
    <row r="99" spans="1:5" x14ac:dyDescent="0.3">
      <c r="A99" s="3" t="s">
        <v>17</v>
      </c>
      <c r="B99" s="3" t="s">
        <v>36</v>
      </c>
      <c r="C99" s="3" t="s">
        <v>13</v>
      </c>
      <c r="D99" s="4">
        <v>77610</v>
      </c>
      <c r="E99" s="4">
        <v>41012</v>
      </c>
    </row>
    <row r="100" spans="1:5" x14ac:dyDescent="0.3">
      <c r="A100" s="3" t="s">
        <v>17</v>
      </c>
      <c r="B100" s="3" t="s">
        <v>35</v>
      </c>
      <c r="C100" s="3" t="s">
        <v>2</v>
      </c>
      <c r="D100" s="4">
        <v>107709</v>
      </c>
      <c r="E100" s="4">
        <v>42787</v>
      </c>
    </row>
    <row r="101" spans="1:5" x14ac:dyDescent="0.3">
      <c r="A101" s="3" t="s">
        <v>17</v>
      </c>
      <c r="B101" s="3" t="s">
        <v>35</v>
      </c>
      <c r="C101" s="3" t="s">
        <v>3</v>
      </c>
      <c r="D101" s="4">
        <v>132333</v>
      </c>
      <c r="E101" s="4">
        <v>49512</v>
      </c>
    </row>
    <row r="102" spans="1:5" x14ac:dyDescent="0.3">
      <c r="A102" s="3" t="s">
        <v>17</v>
      </c>
      <c r="B102" s="3" t="s">
        <v>35</v>
      </c>
      <c r="C102" s="3" t="s">
        <v>4</v>
      </c>
      <c r="D102" s="4">
        <v>211778</v>
      </c>
      <c r="E102" s="4">
        <v>72038</v>
      </c>
    </row>
    <row r="103" spans="1:5" x14ac:dyDescent="0.3">
      <c r="A103" s="3" t="s">
        <v>17</v>
      </c>
      <c r="B103" s="3" t="s">
        <v>35</v>
      </c>
      <c r="C103" s="3" t="s">
        <v>5</v>
      </c>
      <c r="D103" s="4">
        <v>213457</v>
      </c>
      <c r="E103" s="4">
        <v>56050</v>
      </c>
    </row>
    <row r="104" spans="1:5" x14ac:dyDescent="0.3">
      <c r="A104" s="3" t="s">
        <v>17</v>
      </c>
      <c r="B104" s="3" t="s">
        <v>35</v>
      </c>
      <c r="C104" s="3" t="s">
        <v>6</v>
      </c>
      <c r="D104" s="4">
        <v>195700</v>
      </c>
      <c r="E104" s="4">
        <v>60083</v>
      </c>
    </row>
    <row r="105" spans="1:5" x14ac:dyDescent="0.3">
      <c r="A105" s="3" t="s">
        <v>17</v>
      </c>
      <c r="B105" s="3" t="s">
        <v>35</v>
      </c>
      <c r="C105" s="3" t="s">
        <v>7</v>
      </c>
      <c r="D105" s="4">
        <v>160319</v>
      </c>
      <c r="E105" s="4">
        <v>55740</v>
      </c>
    </row>
    <row r="106" spans="1:5" x14ac:dyDescent="0.3">
      <c r="A106" s="3" t="s">
        <v>17</v>
      </c>
      <c r="B106" s="3" t="s">
        <v>35</v>
      </c>
      <c r="C106" s="3" t="s">
        <v>8</v>
      </c>
      <c r="D106" s="4">
        <v>142305</v>
      </c>
      <c r="E106" s="4">
        <v>56610</v>
      </c>
    </row>
    <row r="107" spans="1:5" x14ac:dyDescent="0.3">
      <c r="A107" s="3" t="s">
        <v>17</v>
      </c>
      <c r="B107" s="3" t="s">
        <v>35</v>
      </c>
      <c r="C107" s="3" t="s">
        <v>9</v>
      </c>
      <c r="D107" s="4">
        <v>141738</v>
      </c>
      <c r="E107" s="4">
        <v>62247</v>
      </c>
    </row>
    <row r="108" spans="1:5" x14ac:dyDescent="0.3">
      <c r="A108" s="3" t="s">
        <v>17</v>
      </c>
      <c r="B108" s="3" t="s">
        <v>35</v>
      </c>
      <c r="C108" s="3" t="s">
        <v>10</v>
      </c>
      <c r="D108" s="4">
        <v>199033</v>
      </c>
      <c r="E108" s="4">
        <v>66312</v>
      </c>
    </row>
    <row r="109" spans="1:5" x14ac:dyDescent="0.3">
      <c r="A109" s="3" t="s">
        <v>17</v>
      </c>
      <c r="B109" s="3" t="s">
        <v>35</v>
      </c>
      <c r="C109" s="3" t="s">
        <v>11</v>
      </c>
      <c r="D109" s="4">
        <v>221393</v>
      </c>
      <c r="E109" s="4">
        <v>98336</v>
      </c>
    </row>
    <row r="110" spans="1:5" x14ac:dyDescent="0.3">
      <c r="A110" s="3" t="s">
        <v>17</v>
      </c>
      <c r="B110" s="3" t="s">
        <v>35</v>
      </c>
      <c r="C110" s="3" t="s">
        <v>12</v>
      </c>
      <c r="D110" s="4">
        <v>243332</v>
      </c>
      <c r="E110" s="4">
        <v>96860</v>
      </c>
    </row>
    <row r="111" spans="1:5" x14ac:dyDescent="0.3">
      <c r="A111" s="3" t="s">
        <v>17</v>
      </c>
      <c r="B111" s="3" t="s">
        <v>35</v>
      </c>
      <c r="C111" s="3" t="s">
        <v>13</v>
      </c>
      <c r="D111" s="4">
        <v>240470</v>
      </c>
      <c r="E111" s="4">
        <v>164528</v>
      </c>
    </row>
    <row r="112" spans="1:5" x14ac:dyDescent="0.3">
      <c r="A112" s="3" t="s">
        <v>17</v>
      </c>
      <c r="B112" s="3" t="s">
        <v>34</v>
      </c>
      <c r="C112" s="3" t="s">
        <v>2</v>
      </c>
      <c r="D112" s="4">
        <v>3127</v>
      </c>
      <c r="E112" s="4">
        <v>542</v>
      </c>
    </row>
    <row r="113" spans="1:5" x14ac:dyDescent="0.3">
      <c r="A113" s="3" t="s">
        <v>17</v>
      </c>
      <c r="B113" s="3" t="s">
        <v>34</v>
      </c>
      <c r="C113" s="3" t="s">
        <v>3</v>
      </c>
      <c r="D113" s="4">
        <v>2437</v>
      </c>
      <c r="E113" s="4">
        <v>249</v>
      </c>
    </row>
    <row r="114" spans="1:5" x14ac:dyDescent="0.3">
      <c r="A114" s="3" t="s">
        <v>17</v>
      </c>
      <c r="B114" s="3" t="s">
        <v>34</v>
      </c>
      <c r="C114" s="3" t="s">
        <v>4</v>
      </c>
      <c r="D114" s="4">
        <v>2199</v>
      </c>
      <c r="E114" s="4">
        <v>161</v>
      </c>
    </row>
    <row r="115" spans="1:5" x14ac:dyDescent="0.3">
      <c r="A115" s="3" t="s">
        <v>17</v>
      </c>
      <c r="B115" s="3" t="s">
        <v>34</v>
      </c>
      <c r="C115" s="3" t="s">
        <v>5</v>
      </c>
      <c r="D115" s="4">
        <v>2103</v>
      </c>
      <c r="E115" s="4">
        <v>197</v>
      </c>
    </row>
    <row r="116" spans="1:5" x14ac:dyDescent="0.3">
      <c r="A116" s="3" t="s">
        <v>17</v>
      </c>
      <c r="B116" s="3" t="s">
        <v>34</v>
      </c>
      <c r="C116" s="3" t="s">
        <v>6</v>
      </c>
      <c r="D116" s="4">
        <v>1512</v>
      </c>
      <c r="E116" s="4">
        <v>238</v>
      </c>
    </row>
    <row r="117" spans="1:5" x14ac:dyDescent="0.3">
      <c r="A117" s="3" t="s">
        <v>17</v>
      </c>
      <c r="B117" s="3" t="s">
        <v>34</v>
      </c>
      <c r="C117" s="3" t="s">
        <v>7</v>
      </c>
      <c r="D117" s="4">
        <v>13489</v>
      </c>
      <c r="E117" s="4">
        <v>1517</v>
      </c>
    </row>
    <row r="118" spans="1:5" x14ac:dyDescent="0.3">
      <c r="A118" s="3" t="s">
        <v>17</v>
      </c>
      <c r="B118" s="3" t="s">
        <v>34</v>
      </c>
      <c r="C118" s="3" t="s">
        <v>8</v>
      </c>
      <c r="D118" s="4">
        <v>23119</v>
      </c>
      <c r="E118" s="4">
        <v>4587</v>
      </c>
    </row>
    <row r="119" spans="1:5" x14ac:dyDescent="0.3">
      <c r="A119" s="3" t="s">
        <v>17</v>
      </c>
      <c r="B119" s="3" t="s">
        <v>34</v>
      </c>
      <c r="C119" s="3" t="s">
        <v>9</v>
      </c>
      <c r="D119" s="4">
        <v>18619</v>
      </c>
      <c r="E119" s="4">
        <v>9580</v>
      </c>
    </row>
    <row r="120" spans="1:5" x14ac:dyDescent="0.3">
      <c r="A120" s="3" t="s">
        <v>17</v>
      </c>
      <c r="B120" s="3" t="s">
        <v>34</v>
      </c>
      <c r="C120" s="3" t="s">
        <v>10</v>
      </c>
      <c r="D120" s="4">
        <v>8965</v>
      </c>
      <c r="E120" s="4">
        <v>1385</v>
      </c>
    </row>
    <row r="121" spans="1:5" x14ac:dyDescent="0.3">
      <c r="A121" s="3" t="s">
        <v>17</v>
      </c>
      <c r="B121" s="3" t="s">
        <v>34</v>
      </c>
      <c r="C121" s="3" t="s">
        <v>11</v>
      </c>
      <c r="D121" s="4">
        <v>6656</v>
      </c>
      <c r="E121" s="4">
        <v>1802</v>
      </c>
    </row>
    <row r="122" spans="1:5" x14ac:dyDescent="0.3">
      <c r="A122" s="3" t="s">
        <v>17</v>
      </c>
      <c r="B122" s="3" t="s">
        <v>34</v>
      </c>
      <c r="C122" s="3" t="s">
        <v>12</v>
      </c>
      <c r="D122" s="4">
        <v>7707</v>
      </c>
      <c r="E122" s="4">
        <v>2664</v>
      </c>
    </row>
    <row r="123" spans="1:5" x14ac:dyDescent="0.3">
      <c r="A123" s="3" t="s">
        <v>17</v>
      </c>
      <c r="B123" s="3" t="s">
        <v>34</v>
      </c>
      <c r="C123" s="3" t="s">
        <v>13</v>
      </c>
      <c r="D123" s="4">
        <v>5225</v>
      </c>
      <c r="E123" s="4">
        <v>1197</v>
      </c>
    </row>
    <row r="124" spans="1:5" x14ac:dyDescent="0.3">
      <c r="A124" s="3" t="s">
        <v>18</v>
      </c>
      <c r="B124" s="3" t="s">
        <v>37</v>
      </c>
      <c r="C124" s="3" t="s">
        <v>2</v>
      </c>
      <c r="D124" s="4">
        <v>73999</v>
      </c>
      <c r="E124" s="4">
        <v>34860</v>
      </c>
    </row>
    <row r="125" spans="1:5" x14ac:dyDescent="0.3">
      <c r="A125" s="3" t="s">
        <v>18</v>
      </c>
      <c r="B125" s="3" t="s">
        <v>37</v>
      </c>
      <c r="C125" s="3" t="s">
        <v>3</v>
      </c>
      <c r="D125" s="4">
        <v>89663</v>
      </c>
      <c r="E125" s="4">
        <v>40731</v>
      </c>
    </row>
    <row r="126" spans="1:5" x14ac:dyDescent="0.3">
      <c r="A126" s="3" t="s">
        <v>18</v>
      </c>
      <c r="B126" s="3" t="s">
        <v>37</v>
      </c>
      <c r="C126" s="3" t="s">
        <v>4</v>
      </c>
      <c r="D126" s="4">
        <v>96805</v>
      </c>
      <c r="E126" s="4">
        <v>45699</v>
      </c>
    </row>
    <row r="127" spans="1:5" x14ac:dyDescent="0.3">
      <c r="A127" s="3" t="s">
        <v>18</v>
      </c>
      <c r="B127" s="3" t="s">
        <v>37</v>
      </c>
      <c r="C127" s="3" t="s">
        <v>5</v>
      </c>
      <c r="D127" s="4">
        <v>90877</v>
      </c>
      <c r="E127" s="4">
        <v>37750</v>
      </c>
    </row>
    <row r="128" spans="1:5" x14ac:dyDescent="0.3">
      <c r="A128" s="3" t="s">
        <v>18</v>
      </c>
      <c r="B128" s="3" t="s">
        <v>37</v>
      </c>
      <c r="C128" s="3" t="s">
        <v>6</v>
      </c>
      <c r="D128" s="4">
        <v>76965</v>
      </c>
      <c r="E128" s="4">
        <v>40460</v>
      </c>
    </row>
    <row r="129" spans="1:5" x14ac:dyDescent="0.3">
      <c r="A129" s="3" t="s">
        <v>18</v>
      </c>
      <c r="B129" s="3" t="s">
        <v>37</v>
      </c>
      <c r="C129" s="3" t="s">
        <v>7</v>
      </c>
      <c r="D129" s="4">
        <v>98125</v>
      </c>
      <c r="E129" s="4">
        <v>44859</v>
      </c>
    </row>
    <row r="130" spans="1:5" x14ac:dyDescent="0.3">
      <c r="A130" s="3" t="s">
        <v>18</v>
      </c>
      <c r="B130" s="3" t="s">
        <v>37</v>
      </c>
      <c r="C130" s="3" t="s">
        <v>8</v>
      </c>
      <c r="D130" s="4">
        <v>86777</v>
      </c>
      <c r="E130" s="4">
        <v>40045</v>
      </c>
    </row>
    <row r="131" spans="1:5" x14ac:dyDescent="0.3">
      <c r="A131" s="3" t="s">
        <v>18</v>
      </c>
      <c r="B131" s="3" t="s">
        <v>37</v>
      </c>
      <c r="C131" s="3" t="s">
        <v>9</v>
      </c>
      <c r="D131" s="4">
        <v>85736</v>
      </c>
      <c r="E131" s="4">
        <v>51108</v>
      </c>
    </row>
    <row r="132" spans="1:5" x14ac:dyDescent="0.3">
      <c r="A132" s="3" t="s">
        <v>18</v>
      </c>
      <c r="B132" s="3" t="s">
        <v>37</v>
      </c>
      <c r="C132" s="3" t="s">
        <v>10</v>
      </c>
      <c r="D132" s="4">
        <v>93540</v>
      </c>
      <c r="E132" s="4">
        <v>40145</v>
      </c>
    </row>
    <row r="133" spans="1:5" x14ac:dyDescent="0.3">
      <c r="A133" s="3" t="s">
        <v>18</v>
      </c>
      <c r="B133" s="3" t="s">
        <v>37</v>
      </c>
      <c r="C133" s="3" t="s">
        <v>11</v>
      </c>
      <c r="D133" s="4">
        <v>80705</v>
      </c>
      <c r="E133" s="4">
        <v>38577</v>
      </c>
    </row>
    <row r="134" spans="1:5" x14ac:dyDescent="0.3">
      <c r="A134" s="3" t="s">
        <v>18</v>
      </c>
      <c r="B134" s="3" t="s">
        <v>37</v>
      </c>
      <c r="C134" s="3" t="s">
        <v>12</v>
      </c>
      <c r="D134" s="4">
        <v>73565</v>
      </c>
      <c r="E134" s="4">
        <v>42918</v>
      </c>
    </row>
    <row r="135" spans="1:5" x14ac:dyDescent="0.3">
      <c r="A135" s="3" t="s">
        <v>18</v>
      </c>
      <c r="B135" s="3" t="s">
        <v>37</v>
      </c>
      <c r="C135" s="3" t="s">
        <v>13</v>
      </c>
      <c r="D135" s="4">
        <v>89877</v>
      </c>
      <c r="E135" s="4">
        <v>59919</v>
      </c>
    </row>
    <row r="136" spans="1:5" x14ac:dyDescent="0.3">
      <c r="A136" s="3" t="s">
        <v>18</v>
      </c>
      <c r="B136" s="3" t="s">
        <v>38</v>
      </c>
      <c r="C136" s="3" t="s">
        <v>2</v>
      </c>
      <c r="D136" s="4">
        <v>51139</v>
      </c>
      <c r="E136" s="4">
        <v>25993</v>
      </c>
    </row>
    <row r="137" spans="1:5" x14ac:dyDescent="0.3">
      <c r="A137" s="3" t="s">
        <v>18</v>
      </c>
      <c r="B137" s="3" t="s">
        <v>38</v>
      </c>
      <c r="C137" s="3" t="s">
        <v>3</v>
      </c>
      <c r="D137" s="4">
        <v>65958</v>
      </c>
      <c r="E137" s="4">
        <v>31483</v>
      </c>
    </row>
    <row r="138" spans="1:5" x14ac:dyDescent="0.3">
      <c r="A138" s="3" t="s">
        <v>18</v>
      </c>
      <c r="B138" s="3" t="s">
        <v>38</v>
      </c>
      <c r="C138" s="3" t="s">
        <v>4</v>
      </c>
      <c r="D138" s="4">
        <v>79463</v>
      </c>
      <c r="E138" s="4">
        <v>44405</v>
      </c>
    </row>
    <row r="139" spans="1:5" x14ac:dyDescent="0.3">
      <c r="A139" s="3" t="s">
        <v>18</v>
      </c>
      <c r="B139" s="3" t="s">
        <v>38</v>
      </c>
      <c r="C139" s="3" t="s">
        <v>5</v>
      </c>
      <c r="D139" s="4">
        <v>75623</v>
      </c>
      <c r="E139" s="4">
        <v>34782</v>
      </c>
    </row>
    <row r="140" spans="1:5" x14ac:dyDescent="0.3">
      <c r="A140" s="3" t="s">
        <v>18</v>
      </c>
      <c r="B140" s="3" t="s">
        <v>38</v>
      </c>
      <c r="C140" s="3" t="s">
        <v>6</v>
      </c>
      <c r="D140" s="4">
        <v>71544</v>
      </c>
      <c r="E140" s="4">
        <v>36160</v>
      </c>
    </row>
    <row r="141" spans="1:5" x14ac:dyDescent="0.3">
      <c r="A141" s="3" t="s">
        <v>18</v>
      </c>
      <c r="B141" s="3" t="s">
        <v>38</v>
      </c>
      <c r="C141" s="3" t="s">
        <v>7</v>
      </c>
      <c r="D141" s="4">
        <v>76461</v>
      </c>
      <c r="E141" s="4">
        <v>33025</v>
      </c>
    </row>
    <row r="142" spans="1:5" x14ac:dyDescent="0.3">
      <c r="A142" s="3" t="s">
        <v>18</v>
      </c>
      <c r="B142" s="3" t="s">
        <v>38</v>
      </c>
      <c r="C142" s="3" t="s">
        <v>8</v>
      </c>
      <c r="D142" s="4">
        <v>81659</v>
      </c>
      <c r="E142" s="4">
        <v>42076</v>
      </c>
    </row>
    <row r="143" spans="1:5" x14ac:dyDescent="0.3">
      <c r="A143" s="3" t="s">
        <v>18</v>
      </c>
      <c r="B143" s="3" t="s">
        <v>38</v>
      </c>
      <c r="C143" s="3" t="s">
        <v>9</v>
      </c>
      <c r="D143" s="4">
        <v>93177</v>
      </c>
      <c r="E143" s="4">
        <v>51219</v>
      </c>
    </row>
    <row r="144" spans="1:5" x14ac:dyDescent="0.3">
      <c r="A144" s="3" t="s">
        <v>18</v>
      </c>
      <c r="B144" s="3" t="s">
        <v>38</v>
      </c>
      <c r="C144" s="3" t="s">
        <v>10</v>
      </c>
      <c r="D144" s="4">
        <v>82553</v>
      </c>
      <c r="E144" s="4">
        <v>31574</v>
      </c>
    </row>
    <row r="145" spans="1:5" x14ac:dyDescent="0.3">
      <c r="A145" s="3" t="s">
        <v>18</v>
      </c>
      <c r="B145" s="3" t="s">
        <v>38</v>
      </c>
      <c r="C145" s="3" t="s">
        <v>11</v>
      </c>
      <c r="D145" s="4">
        <v>68922</v>
      </c>
      <c r="E145" s="4">
        <v>34134</v>
      </c>
    </row>
    <row r="146" spans="1:5" x14ac:dyDescent="0.3">
      <c r="A146" s="3" t="s">
        <v>18</v>
      </c>
      <c r="B146" s="3" t="s">
        <v>38</v>
      </c>
      <c r="C146" s="3" t="s">
        <v>12</v>
      </c>
      <c r="D146" s="4">
        <v>64900</v>
      </c>
      <c r="E146" s="4">
        <v>36765</v>
      </c>
    </row>
    <row r="147" spans="1:5" x14ac:dyDescent="0.3">
      <c r="A147" s="3" t="s">
        <v>18</v>
      </c>
      <c r="B147" s="3" t="s">
        <v>38</v>
      </c>
      <c r="C147" s="3" t="s">
        <v>13</v>
      </c>
      <c r="D147" s="4">
        <v>73116</v>
      </c>
      <c r="E147" s="4">
        <v>56499</v>
      </c>
    </row>
    <row r="148" spans="1:5" x14ac:dyDescent="0.3">
      <c r="A148" s="3" t="s">
        <v>18</v>
      </c>
      <c r="B148" s="3" t="s">
        <v>36</v>
      </c>
      <c r="C148" s="3" t="s">
        <v>2</v>
      </c>
      <c r="D148" s="4">
        <v>23935</v>
      </c>
      <c r="E148" s="4">
        <v>11326</v>
      </c>
    </row>
    <row r="149" spans="1:5" x14ac:dyDescent="0.3">
      <c r="A149" s="3" t="s">
        <v>18</v>
      </c>
      <c r="B149" s="3" t="s">
        <v>36</v>
      </c>
      <c r="C149" s="3" t="s">
        <v>3</v>
      </c>
      <c r="D149" s="4">
        <v>20952</v>
      </c>
      <c r="E149" s="4">
        <v>9092</v>
      </c>
    </row>
    <row r="150" spans="1:5" x14ac:dyDescent="0.3">
      <c r="A150" s="3" t="s">
        <v>18</v>
      </c>
      <c r="B150" s="3" t="s">
        <v>36</v>
      </c>
      <c r="C150" s="3" t="s">
        <v>4</v>
      </c>
      <c r="D150" s="4">
        <v>24430</v>
      </c>
      <c r="E150" s="4">
        <v>11143</v>
      </c>
    </row>
    <row r="151" spans="1:5" x14ac:dyDescent="0.3">
      <c r="A151" s="3" t="s">
        <v>18</v>
      </c>
      <c r="B151" s="3" t="s">
        <v>36</v>
      </c>
      <c r="C151" s="3" t="s">
        <v>5</v>
      </c>
      <c r="D151" s="4">
        <v>32701</v>
      </c>
      <c r="E151" s="4">
        <v>11901</v>
      </c>
    </row>
    <row r="152" spans="1:5" x14ac:dyDescent="0.3">
      <c r="A152" s="3" t="s">
        <v>18</v>
      </c>
      <c r="B152" s="3" t="s">
        <v>36</v>
      </c>
      <c r="C152" s="3" t="s">
        <v>6</v>
      </c>
      <c r="D152" s="4">
        <v>29482</v>
      </c>
      <c r="E152" s="4">
        <v>12026</v>
      </c>
    </row>
    <row r="153" spans="1:5" x14ac:dyDescent="0.3">
      <c r="A153" s="3" t="s">
        <v>18</v>
      </c>
      <c r="B153" s="3" t="s">
        <v>36</v>
      </c>
      <c r="C153" s="3" t="s">
        <v>7</v>
      </c>
      <c r="D153" s="4">
        <v>27483</v>
      </c>
      <c r="E153" s="4">
        <v>11328</v>
      </c>
    </row>
    <row r="154" spans="1:5" x14ac:dyDescent="0.3">
      <c r="A154" s="3" t="s">
        <v>18</v>
      </c>
      <c r="B154" s="3" t="s">
        <v>36</v>
      </c>
      <c r="C154" s="3" t="s">
        <v>8</v>
      </c>
      <c r="D154" s="4">
        <v>29858</v>
      </c>
      <c r="E154" s="4">
        <v>12300</v>
      </c>
    </row>
    <row r="155" spans="1:5" x14ac:dyDescent="0.3">
      <c r="A155" s="3" t="s">
        <v>18</v>
      </c>
      <c r="B155" s="3" t="s">
        <v>36</v>
      </c>
      <c r="C155" s="3" t="s">
        <v>9</v>
      </c>
      <c r="D155" s="4">
        <v>29691</v>
      </c>
      <c r="E155" s="4">
        <v>16708</v>
      </c>
    </row>
    <row r="156" spans="1:5" x14ac:dyDescent="0.3">
      <c r="A156" s="3" t="s">
        <v>18</v>
      </c>
      <c r="B156" s="3" t="s">
        <v>36</v>
      </c>
      <c r="C156" s="3" t="s">
        <v>10</v>
      </c>
      <c r="D156" s="4">
        <v>39694</v>
      </c>
      <c r="E156" s="4">
        <v>12993</v>
      </c>
    </row>
    <row r="157" spans="1:5" x14ac:dyDescent="0.3">
      <c r="A157" s="3" t="s">
        <v>18</v>
      </c>
      <c r="B157" s="3" t="s">
        <v>36</v>
      </c>
      <c r="C157" s="3" t="s">
        <v>11</v>
      </c>
      <c r="D157" s="4">
        <v>44161</v>
      </c>
      <c r="E157" s="4">
        <v>14718</v>
      </c>
    </row>
    <row r="158" spans="1:5" x14ac:dyDescent="0.3">
      <c r="A158" s="3" t="s">
        <v>18</v>
      </c>
      <c r="B158" s="3" t="s">
        <v>36</v>
      </c>
      <c r="C158" s="3" t="s">
        <v>12</v>
      </c>
      <c r="D158" s="4">
        <v>40726</v>
      </c>
      <c r="E158" s="4">
        <v>17885</v>
      </c>
    </row>
    <row r="159" spans="1:5" x14ac:dyDescent="0.3">
      <c r="A159" s="3" t="s">
        <v>18</v>
      </c>
      <c r="B159" s="3" t="s">
        <v>36</v>
      </c>
      <c r="C159" s="3" t="s">
        <v>13</v>
      </c>
      <c r="D159" s="4">
        <v>40645</v>
      </c>
      <c r="E159" s="4">
        <v>27919</v>
      </c>
    </row>
    <row r="160" spans="1:5" x14ac:dyDescent="0.3">
      <c r="A160" s="3" t="s">
        <v>18</v>
      </c>
      <c r="B160" s="3" t="s">
        <v>35</v>
      </c>
      <c r="C160" s="3" t="s">
        <v>2</v>
      </c>
      <c r="D160" s="4">
        <v>57962</v>
      </c>
      <c r="E160" s="4">
        <v>36819</v>
      </c>
    </row>
    <row r="161" spans="1:5" x14ac:dyDescent="0.3">
      <c r="A161" s="3" t="s">
        <v>18</v>
      </c>
      <c r="B161" s="3" t="s">
        <v>35</v>
      </c>
      <c r="C161" s="3" t="s">
        <v>3</v>
      </c>
      <c r="D161" s="4">
        <v>78843</v>
      </c>
      <c r="E161" s="4">
        <v>45897</v>
      </c>
    </row>
    <row r="162" spans="1:5" x14ac:dyDescent="0.3">
      <c r="A162" s="3" t="s">
        <v>18</v>
      </c>
      <c r="B162" s="3" t="s">
        <v>35</v>
      </c>
      <c r="C162" s="3" t="s">
        <v>4</v>
      </c>
      <c r="D162" s="4">
        <v>136091</v>
      </c>
      <c r="E162" s="4">
        <v>57560</v>
      </c>
    </row>
    <row r="163" spans="1:5" x14ac:dyDescent="0.3">
      <c r="A163" s="3" t="s">
        <v>18</v>
      </c>
      <c r="B163" s="3" t="s">
        <v>35</v>
      </c>
      <c r="C163" s="3" t="s">
        <v>5</v>
      </c>
      <c r="D163" s="4">
        <v>130813</v>
      </c>
      <c r="E163" s="4">
        <v>47633</v>
      </c>
    </row>
    <row r="164" spans="1:5" x14ac:dyDescent="0.3">
      <c r="A164" s="3" t="s">
        <v>18</v>
      </c>
      <c r="B164" s="3" t="s">
        <v>35</v>
      </c>
      <c r="C164" s="3" t="s">
        <v>6</v>
      </c>
      <c r="D164" s="4">
        <v>124692</v>
      </c>
      <c r="E164" s="4">
        <v>46725</v>
      </c>
    </row>
    <row r="165" spans="1:5" x14ac:dyDescent="0.3">
      <c r="A165" s="3" t="s">
        <v>18</v>
      </c>
      <c r="B165" s="3" t="s">
        <v>35</v>
      </c>
      <c r="C165" s="3" t="s">
        <v>7</v>
      </c>
      <c r="D165" s="4">
        <v>100479</v>
      </c>
      <c r="E165" s="4">
        <v>41302</v>
      </c>
    </row>
    <row r="166" spans="1:5" x14ac:dyDescent="0.3">
      <c r="A166" s="3" t="s">
        <v>18</v>
      </c>
      <c r="B166" s="3" t="s">
        <v>35</v>
      </c>
      <c r="C166" s="3" t="s">
        <v>8</v>
      </c>
      <c r="D166" s="4">
        <v>95924</v>
      </c>
      <c r="E166" s="4">
        <v>48669</v>
      </c>
    </row>
    <row r="167" spans="1:5" x14ac:dyDescent="0.3">
      <c r="A167" s="3" t="s">
        <v>18</v>
      </c>
      <c r="B167" s="3" t="s">
        <v>35</v>
      </c>
      <c r="C167" s="3" t="s">
        <v>9</v>
      </c>
      <c r="D167" s="4">
        <v>95542</v>
      </c>
      <c r="E167" s="4">
        <v>55255</v>
      </c>
    </row>
    <row r="168" spans="1:5" x14ac:dyDescent="0.3">
      <c r="A168" s="3" t="s">
        <v>18</v>
      </c>
      <c r="B168" s="3" t="s">
        <v>35</v>
      </c>
      <c r="C168" s="3" t="s">
        <v>10</v>
      </c>
      <c r="D168" s="4">
        <v>130783</v>
      </c>
      <c r="E168" s="4">
        <v>53505</v>
      </c>
    </row>
    <row r="169" spans="1:5" x14ac:dyDescent="0.3">
      <c r="A169" s="3" t="s">
        <v>18</v>
      </c>
      <c r="B169" s="3" t="s">
        <v>35</v>
      </c>
      <c r="C169" s="3" t="s">
        <v>11</v>
      </c>
      <c r="D169" s="4">
        <v>127752</v>
      </c>
      <c r="E169" s="4">
        <v>76277</v>
      </c>
    </row>
    <row r="170" spans="1:5" x14ac:dyDescent="0.3">
      <c r="A170" s="3" t="s">
        <v>18</v>
      </c>
      <c r="B170" s="3" t="s">
        <v>35</v>
      </c>
      <c r="C170" s="3" t="s">
        <v>12</v>
      </c>
      <c r="D170" s="4">
        <v>106056</v>
      </c>
      <c r="E170" s="4">
        <v>65240</v>
      </c>
    </row>
    <row r="171" spans="1:5" x14ac:dyDescent="0.3">
      <c r="A171" s="3" t="s">
        <v>18</v>
      </c>
      <c r="B171" s="3" t="s">
        <v>35</v>
      </c>
      <c r="C171" s="3" t="s">
        <v>13</v>
      </c>
      <c r="D171" s="4">
        <v>101794</v>
      </c>
      <c r="E171" s="4">
        <v>110538</v>
      </c>
    </row>
    <row r="172" spans="1:5" x14ac:dyDescent="0.3">
      <c r="A172" s="3" t="s">
        <v>18</v>
      </c>
      <c r="B172" s="3" t="s">
        <v>34</v>
      </c>
      <c r="C172" s="3" t="s">
        <v>2</v>
      </c>
      <c r="D172" s="4">
        <v>2255</v>
      </c>
      <c r="E172" s="4">
        <v>328</v>
      </c>
    </row>
    <row r="173" spans="1:5" x14ac:dyDescent="0.3">
      <c r="A173" s="3" t="s">
        <v>18</v>
      </c>
      <c r="B173" s="3" t="s">
        <v>34</v>
      </c>
      <c r="C173" s="3" t="s">
        <v>3</v>
      </c>
      <c r="D173" s="4">
        <v>1757</v>
      </c>
      <c r="E173" s="4">
        <v>192</v>
      </c>
    </row>
    <row r="174" spans="1:5" x14ac:dyDescent="0.3">
      <c r="A174" s="3" t="s">
        <v>18</v>
      </c>
      <c r="B174" s="3" t="s">
        <v>34</v>
      </c>
      <c r="C174" s="3" t="s">
        <v>4</v>
      </c>
      <c r="D174" s="4">
        <v>1602</v>
      </c>
      <c r="E174" s="4">
        <v>169</v>
      </c>
    </row>
    <row r="175" spans="1:5" x14ac:dyDescent="0.3">
      <c r="A175" s="3" t="s">
        <v>18</v>
      </c>
      <c r="B175" s="3" t="s">
        <v>34</v>
      </c>
      <c r="C175" s="3" t="s">
        <v>5</v>
      </c>
      <c r="D175" s="4">
        <v>1614</v>
      </c>
      <c r="E175" s="4">
        <v>167</v>
      </c>
    </row>
    <row r="176" spans="1:5" x14ac:dyDescent="0.3">
      <c r="A176" s="3" t="s">
        <v>18</v>
      </c>
      <c r="B176" s="3" t="s">
        <v>34</v>
      </c>
      <c r="C176" s="3" t="s">
        <v>6</v>
      </c>
      <c r="D176" s="4">
        <v>1296</v>
      </c>
      <c r="E176" s="4">
        <v>242</v>
      </c>
    </row>
    <row r="177" spans="1:5" x14ac:dyDescent="0.3">
      <c r="A177" s="3" t="s">
        <v>18</v>
      </c>
      <c r="B177" s="3" t="s">
        <v>34</v>
      </c>
      <c r="C177" s="3" t="s">
        <v>7</v>
      </c>
      <c r="D177" s="4">
        <v>8853</v>
      </c>
      <c r="E177" s="4">
        <v>1039</v>
      </c>
    </row>
    <row r="178" spans="1:5" x14ac:dyDescent="0.3">
      <c r="A178" s="3" t="s">
        <v>18</v>
      </c>
      <c r="B178" s="3" t="s">
        <v>34</v>
      </c>
      <c r="C178" s="3" t="s">
        <v>8</v>
      </c>
      <c r="D178" s="4">
        <v>15711</v>
      </c>
      <c r="E178" s="4">
        <v>2839</v>
      </c>
    </row>
    <row r="179" spans="1:5" x14ac:dyDescent="0.3">
      <c r="A179" s="3" t="s">
        <v>18</v>
      </c>
      <c r="B179" s="3" t="s">
        <v>34</v>
      </c>
      <c r="C179" s="3" t="s">
        <v>9</v>
      </c>
      <c r="D179" s="4">
        <v>13664</v>
      </c>
      <c r="E179" s="4">
        <v>6144</v>
      </c>
    </row>
    <row r="180" spans="1:5" x14ac:dyDescent="0.3">
      <c r="A180" s="3" t="s">
        <v>18</v>
      </c>
      <c r="B180" s="3" t="s">
        <v>34</v>
      </c>
      <c r="C180" s="3" t="s">
        <v>10</v>
      </c>
      <c r="D180" s="4">
        <v>7753</v>
      </c>
      <c r="E180" s="4">
        <v>960</v>
      </c>
    </row>
    <row r="181" spans="1:5" x14ac:dyDescent="0.3">
      <c r="A181" s="3" t="s">
        <v>18</v>
      </c>
      <c r="B181" s="3" t="s">
        <v>34</v>
      </c>
      <c r="C181" s="3" t="s">
        <v>11</v>
      </c>
      <c r="D181" s="4">
        <v>4793</v>
      </c>
      <c r="E181" s="4">
        <v>924</v>
      </c>
    </row>
    <row r="182" spans="1:5" x14ac:dyDescent="0.3">
      <c r="A182" s="3" t="s">
        <v>18</v>
      </c>
      <c r="B182" s="3" t="s">
        <v>34</v>
      </c>
      <c r="C182" s="3" t="s">
        <v>12</v>
      </c>
      <c r="D182" s="4">
        <v>5591</v>
      </c>
      <c r="E182" s="4">
        <v>1528</v>
      </c>
    </row>
    <row r="183" spans="1:5" x14ac:dyDescent="0.3">
      <c r="A183" s="3" t="s">
        <v>18</v>
      </c>
      <c r="B183" s="3" t="s">
        <v>34</v>
      </c>
      <c r="C183" s="3" t="s">
        <v>13</v>
      </c>
      <c r="D183" s="4">
        <v>4131</v>
      </c>
      <c r="E183" s="4">
        <v>766</v>
      </c>
    </row>
    <row r="184" spans="1:5" x14ac:dyDescent="0.3">
      <c r="A184" s="3" t="s">
        <v>19</v>
      </c>
      <c r="B184" s="3" t="s">
        <v>37</v>
      </c>
      <c r="C184" s="3" t="s">
        <v>2</v>
      </c>
      <c r="D184" s="4">
        <v>131636</v>
      </c>
      <c r="E184" s="4">
        <v>64022</v>
      </c>
    </row>
    <row r="185" spans="1:5" x14ac:dyDescent="0.3">
      <c r="A185" s="3" t="s">
        <v>19</v>
      </c>
      <c r="B185" s="3" t="s">
        <v>37</v>
      </c>
      <c r="C185" s="3" t="s">
        <v>3</v>
      </c>
      <c r="D185" s="4">
        <v>171502</v>
      </c>
      <c r="E185" s="4">
        <v>81963</v>
      </c>
    </row>
    <row r="186" spans="1:5" x14ac:dyDescent="0.3">
      <c r="A186" s="3" t="s">
        <v>19</v>
      </c>
      <c r="B186" s="3" t="s">
        <v>37</v>
      </c>
      <c r="C186" s="3" t="s">
        <v>4</v>
      </c>
      <c r="D186" s="4">
        <v>189022</v>
      </c>
      <c r="E186" s="4">
        <v>91715</v>
      </c>
    </row>
    <row r="187" spans="1:5" x14ac:dyDescent="0.3">
      <c r="A187" s="3" t="s">
        <v>19</v>
      </c>
      <c r="B187" s="3" t="s">
        <v>37</v>
      </c>
      <c r="C187" s="3" t="s">
        <v>5</v>
      </c>
      <c r="D187" s="4">
        <v>172153</v>
      </c>
      <c r="E187" s="4">
        <v>74171</v>
      </c>
    </row>
    <row r="188" spans="1:5" x14ac:dyDescent="0.3">
      <c r="A188" s="3" t="s">
        <v>19</v>
      </c>
      <c r="B188" s="3" t="s">
        <v>37</v>
      </c>
      <c r="C188" s="3" t="s">
        <v>6</v>
      </c>
      <c r="D188" s="4">
        <v>168157</v>
      </c>
      <c r="E188" s="4">
        <v>78872</v>
      </c>
    </row>
    <row r="189" spans="1:5" x14ac:dyDescent="0.3">
      <c r="A189" s="3" t="s">
        <v>19</v>
      </c>
      <c r="B189" s="3" t="s">
        <v>37</v>
      </c>
      <c r="C189" s="3" t="s">
        <v>7</v>
      </c>
      <c r="D189" s="4">
        <v>211684</v>
      </c>
      <c r="E189" s="4">
        <v>90343</v>
      </c>
    </row>
    <row r="190" spans="1:5" x14ac:dyDescent="0.3">
      <c r="A190" s="3" t="s">
        <v>19</v>
      </c>
      <c r="B190" s="3" t="s">
        <v>37</v>
      </c>
      <c r="C190" s="3" t="s">
        <v>8</v>
      </c>
      <c r="D190" s="4">
        <v>179000</v>
      </c>
      <c r="E190" s="4">
        <v>77555</v>
      </c>
    </row>
    <row r="191" spans="1:5" x14ac:dyDescent="0.3">
      <c r="A191" s="3" t="s">
        <v>19</v>
      </c>
      <c r="B191" s="3" t="s">
        <v>37</v>
      </c>
      <c r="C191" s="3" t="s">
        <v>9</v>
      </c>
      <c r="D191" s="4">
        <v>199888</v>
      </c>
      <c r="E191" s="4">
        <v>97844</v>
      </c>
    </row>
    <row r="192" spans="1:5" x14ac:dyDescent="0.3">
      <c r="A192" s="3" t="s">
        <v>19</v>
      </c>
      <c r="B192" s="3" t="s">
        <v>37</v>
      </c>
      <c r="C192" s="3" t="s">
        <v>10</v>
      </c>
      <c r="D192" s="4">
        <v>216804</v>
      </c>
      <c r="E192" s="4">
        <v>80989</v>
      </c>
    </row>
    <row r="193" spans="1:5" x14ac:dyDescent="0.3">
      <c r="A193" s="3" t="s">
        <v>19</v>
      </c>
      <c r="B193" s="3" t="s">
        <v>37</v>
      </c>
      <c r="C193" s="3" t="s">
        <v>11</v>
      </c>
      <c r="D193" s="4">
        <v>180705</v>
      </c>
      <c r="E193" s="4">
        <v>77376</v>
      </c>
    </row>
    <row r="194" spans="1:5" x14ac:dyDescent="0.3">
      <c r="A194" s="3" t="s">
        <v>19</v>
      </c>
      <c r="B194" s="3" t="s">
        <v>37</v>
      </c>
      <c r="C194" s="3" t="s">
        <v>12</v>
      </c>
      <c r="D194" s="4">
        <v>158619</v>
      </c>
      <c r="E194" s="4">
        <v>86235</v>
      </c>
    </row>
    <row r="195" spans="1:5" x14ac:dyDescent="0.3">
      <c r="A195" s="3" t="s">
        <v>19</v>
      </c>
      <c r="B195" s="3" t="s">
        <v>37</v>
      </c>
      <c r="C195" s="3" t="s">
        <v>13</v>
      </c>
      <c r="D195" s="4">
        <v>185271</v>
      </c>
      <c r="E195" s="4">
        <v>119653</v>
      </c>
    </row>
    <row r="196" spans="1:5" x14ac:dyDescent="0.3">
      <c r="A196" s="3" t="s">
        <v>19</v>
      </c>
      <c r="B196" s="3" t="s">
        <v>38</v>
      </c>
      <c r="C196" s="3" t="s">
        <v>2</v>
      </c>
      <c r="D196" s="4">
        <v>123950</v>
      </c>
      <c r="E196" s="4">
        <v>53258</v>
      </c>
    </row>
    <row r="197" spans="1:5" x14ac:dyDescent="0.3">
      <c r="A197" s="3" t="s">
        <v>19</v>
      </c>
      <c r="B197" s="3" t="s">
        <v>38</v>
      </c>
      <c r="C197" s="3" t="s">
        <v>3</v>
      </c>
      <c r="D197" s="4">
        <v>170389</v>
      </c>
      <c r="E197" s="4">
        <v>68408</v>
      </c>
    </row>
    <row r="198" spans="1:5" x14ac:dyDescent="0.3">
      <c r="A198" s="3" t="s">
        <v>19</v>
      </c>
      <c r="B198" s="3" t="s">
        <v>38</v>
      </c>
      <c r="C198" s="3" t="s">
        <v>4</v>
      </c>
      <c r="D198" s="4">
        <v>195493</v>
      </c>
      <c r="E198" s="4">
        <v>94809</v>
      </c>
    </row>
    <row r="199" spans="1:5" x14ac:dyDescent="0.3">
      <c r="A199" s="3" t="s">
        <v>19</v>
      </c>
      <c r="B199" s="3" t="s">
        <v>38</v>
      </c>
      <c r="C199" s="3" t="s">
        <v>5</v>
      </c>
      <c r="D199" s="4">
        <v>182383</v>
      </c>
      <c r="E199" s="4">
        <v>70553</v>
      </c>
    </row>
    <row r="200" spans="1:5" x14ac:dyDescent="0.3">
      <c r="A200" s="3" t="s">
        <v>19</v>
      </c>
      <c r="B200" s="3" t="s">
        <v>38</v>
      </c>
      <c r="C200" s="3" t="s">
        <v>6</v>
      </c>
      <c r="D200" s="4">
        <v>181394</v>
      </c>
      <c r="E200" s="4">
        <v>73978</v>
      </c>
    </row>
    <row r="201" spans="1:5" x14ac:dyDescent="0.3">
      <c r="A201" s="3" t="s">
        <v>19</v>
      </c>
      <c r="B201" s="3" t="s">
        <v>38</v>
      </c>
      <c r="C201" s="3" t="s">
        <v>7</v>
      </c>
      <c r="D201" s="4">
        <v>190346</v>
      </c>
      <c r="E201" s="4">
        <v>68560</v>
      </c>
    </row>
    <row r="202" spans="1:5" x14ac:dyDescent="0.3">
      <c r="A202" s="3" t="s">
        <v>19</v>
      </c>
      <c r="B202" s="3" t="s">
        <v>38</v>
      </c>
      <c r="C202" s="3" t="s">
        <v>8</v>
      </c>
      <c r="D202" s="4">
        <v>227065</v>
      </c>
      <c r="E202" s="4">
        <v>88753</v>
      </c>
    </row>
    <row r="203" spans="1:5" x14ac:dyDescent="0.3">
      <c r="A203" s="3" t="s">
        <v>19</v>
      </c>
      <c r="B203" s="3" t="s">
        <v>38</v>
      </c>
      <c r="C203" s="3" t="s">
        <v>9</v>
      </c>
      <c r="D203" s="4">
        <v>271584</v>
      </c>
      <c r="E203" s="4">
        <v>107519</v>
      </c>
    </row>
    <row r="204" spans="1:5" x14ac:dyDescent="0.3">
      <c r="A204" s="3" t="s">
        <v>19</v>
      </c>
      <c r="B204" s="3" t="s">
        <v>38</v>
      </c>
      <c r="C204" s="3" t="s">
        <v>10</v>
      </c>
      <c r="D204" s="4">
        <v>251696</v>
      </c>
      <c r="E204" s="4">
        <v>68996</v>
      </c>
    </row>
    <row r="205" spans="1:5" x14ac:dyDescent="0.3">
      <c r="A205" s="3" t="s">
        <v>19</v>
      </c>
      <c r="B205" s="3" t="s">
        <v>38</v>
      </c>
      <c r="C205" s="3" t="s">
        <v>11</v>
      </c>
      <c r="D205" s="4">
        <v>222818</v>
      </c>
      <c r="E205" s="4">
        <v>73343</v>
      </c>
    </row>
    <row r="206" spans="1:5" x14ac:dyDescent="0.3">
      <c r="A206" s="3" t="s">
        <v>19</v>
      </c>
      <c r="B206" s="3" t="s">
        <v>38</v>
      </c>
      <c r="C206" s="3" t="s">
        <v>12</v>
      </c>
      <c r="D206" s="4">
        <v>198138</v>
      </c>
      <c r="E206" s="4">
        <v>78828</v>
      </c>
    </row>
    <row r="207" spans="1:5" x14ac:dyDescent="0.3">
      <c r="A207" s="3" t="s">
        <v>19</v>
      </c>
      <c r="B207" s="3" t="s">
        <v>38</v>
      </c>
      <c r="C207" s="3" t="s">
        <v>13</v>
      </c>
      <c r="D207" s="4">
        <v>205114</v>
      </c>
      <c r="E207" s="4">
        <v>122387</v>
      </c>
    </row>
    <row r="208" spans="1:5" x14ac:dyDescent="0.3">
      <c r="A208" s="3" t="s">
        <v>19</v>
      </c>
      <c r="B208" s="3" t="s">
        <v>36</v>
      </c>
      <c r="C208" s="3" t="s">
        <v>2</v>
      </c>
      <c r="D208" s="4">
        <v>52113</v>
      </c>
      <c r="E208" s="4">
        <v>24786</v>
      </c>
    </row>
    <row r="209" spans="1:5" x14ac:dyDescent="0.3">
      <c r="A209" s="3" t="s">
        <v>19</v>
      </c>
      <c r="B209" s="3" t="s">
        <v>36</v>
      </c>
      <c r="C209" s="3" t="s">
        <v>3</v>
      </c>
      <c r="D209" s="4">
        <v>46528</v>
      </c>
      <c r="E209" s="4">
        <v>20148</v>
      </c>
    </row>
    <row r="210" spans="1:5" x14ac:dyDescent="0.3">
      <c r="A210" s="3" t="s">
        <v>19</v>
      </c>
      <c r="B210" s="3" t="s">
        <v>36</v>
      </c>
      <c r="C210" s="3" t="s">
        <v>4</v>
      </c>
      <c r="D210" s="4">
        <v>49683</v>
      </c>
      <c r="E210" s="4">
        <v>22315</v>
      </c>
    </row>
    <row r="211" spans="1:5" x14ac:dyDescent="0.3">
      <c r="A211" s="3" t="s">
        <v>19</v>
      </c>
      <c r="B211" s="3" t="s">
        <v>36</v>
      </c>
      <c r="C211" s="3" t="s">
        <v>5</v>
      </c>
      <c r="D211" s="4">
        <v>71207</v>
      </c>
      <c r="E211" s="4">
        <v>21537</v>
      </c>
    </row>
    <row r="212" spans="1:5" x14ac:dyDescent="0.3">
      <c r="A212" s="3" t="s">
        <v>19</v>
      </c>
      <c r="B212" s="3" t="s">
        <v>36</v>
      </c>
      <c r="C212" s="3" t="s">
        <v>6</v>
      </c>
      <c r="D212" s="4">
        <v>66111</v>
      </c>
      <c r="E212" s="4">
        <v>23938</v>
      </c>
    </row>
    <row r="213" spans="1:5" x14ac:dyDescent="0.3">
      <c r="A213" s="3" t="s">
        <v>19</v>
      </c>
      <c r="B213" s="3" t="s">
        <v>36</v>
      </c>
      <c r="C213" s="3" t="s">
        <v>7</v>
      </c>
      <c r="D213" s="4">
        <v>58186</v>
      </c>
      <c r="E213" s="4">
        <v>23342</v>
      </c>
    </row>
    <row r="214" spans="1:5" x14ac:dyDescent="0.3">
      <c r="A214" s="3" t="s">
        <v>19</v>
      </c>
      <c r="B214" s="3" t="s">
        <v>36</v>
      </c>
      <c r="C214" s="3" t="s">
        <v>8</v>
      </c>
      <c r="D214" s="4">
        <v>59429</v>
      </c>
      <c r="E214" s="4">
        <v>23414</v>
      </c>
    </row>
    <row r="215" spans="1:5" x14ac:dyDescent="0.3">
      <c r="A215" s="3" t="s">
        <v>19</v>
      </c>
      <c r="B215" s="3" t="s">
        <v>36</v>
      </c>
      <c r="C215" s="3" t="s">
        <v>9</v>
      </c>
      <c r="D215" s="4">
        <v>56864</v>
      </c>
      <c r="E215" s="4">
        <v>28912</v>
      </c>
    </row>
    <row r="216" spans="1:5" x14ac:dyDescent="0.3">
      <c r="A216" s="3" t="s">
        <v>19</v>
      </c>
      <c r="B216" s="3" t="s">
        <v>36</v>
      </c>
      <c r="C216" s="3" t="s">
        <v>10</v>
      </c>
      <c r="D216" s="4">
        <v>84632</v>
      </c>
      <c r="E216" s="4">
        <v>24984</v>
      </c>
    </row>
    <row r="217" spans="1:5" x14ac:dyDescent="0.3">
      <c r="A217" s="3" t="s">
        <v>19</v>
      </c>
      <c r="B217" s="3" t="s">
        <v>36</v>
      </c>
      <c r="C217" s="3" t="s">
        <v>11</v>
      </c>
      <c r="D217" s="4">
        <v>101020</v>
      </c>
      <c r="E217" s="4">
        <v>27727</v>
      </c>
    </row>
    <row r="218" spans="1:5" x14ac:dyDescent="0.3">
      <c r="A218" s="3" t="s">
        <v>19</v>
      </c>
      <c r="B218" s="3" t="s">
        <v>36</v>
      </c>
      <c r="C218" s="3" t="s">
        <v>12</v>
      </c>
      <c r="D218" s="4">
        <v>96816</v>
      </c>
      <c r="E218" s="4">
        <v>36668</v>
      </c>
    </row>
    <row r="219" spans="1:5" x14ac:dyDescent="0.3">
      <c r="A219" s="3" t="s">
        <v>19</v>
      </c>
      <c r="B219" s="3" t="s">
        <v>36</v>
      </c>
      <c r="C219" s="3" t="s">
        <v>13</v>
      </c>
      <c r="D219" s="4">
        <v>99104</v>
      </c>
      <c r="E219" s="4">
        <v>55826</v>
      </c>
    </row>
    <row r="220" spans="1:5" x14ac:dyDescent="0.3">
      <c r="A220" s="3" t="s">
        <v>19</v>
      </c>
      <c r="B220" s="3" t="s">
        <v>35</v>
      </c>
      <c r="C220" s="3" t="s">
        <v>2</v>
      </c>
      <c r="D220" s="4">
        <v>131030</v>
      </c>
      <c r="E220" s="4">
        <v>59424</v>
      </c>
    </row>
    <row r="221" spans="1:5" x14ac:dyDescent="0.3">
      <c r="A221" s="3" t="s">
        <v>19</v>
      </c>
      <c r="B221" s="3" t="s">
        <v>35</v>
      </c>
      <c r="C221" s="3" t="s">
        <v>3</v>
      </c>
      <c r="D221" s="4">
        <v>155309</v>
      </c>
      <c r="E221" s="4">
        <v>69826</v>
      </c>
    </row>
    <row r="222" spans="1:5" x14ac:dyDescent="0.3">
      <c r="A222" s="3" t="s">
        <v>19</v>
      </c>
      <c r="B222" s="3" t="s">
        <v>35</v>
      </c>
      <c r="C222" s="3" t="s">
        <v>4</v>
      </c>
      <c r="D222" s="4">
        <v>245940</v>
      </c>
      <c r="E222" s="4">
        <v>92975</v>
      </c>
    </row>
    <row r="223" spans="1:5" x14ac:dyDescent="0.3">
      <c r="A223" s="3" t="s">
        <v>19</v>
      </c>
      <c r="B223" s="3" t="s">
        <v>35</v>
      </c>
      <c r="C223" s="3" t="s">
        <v>5</v>
      </c>
      <c r="D223" s="4">
        <v>244264</v>
      </c>
      <c r="E223" s="4">
        <v>73903</v>
      </c>
    </row>
    <row r="224" spans="1:5" x14ac:dyDescent="0.3">
      <c r="A224" s="3" t="s">
        <v>19</v>
      </c>
      <c r="B224" s="3" t="s">
        <v>35</v>
      </c>
      <c r="C224" s="3" t="s">
        <v>6</v>
      </c>
      <c r="D224" s="4">
        <v>232729</v>
      </c>
      <c r="E224" s="4">
        <v>75893</v>
      </c>
    </row>
    <row r="225" spans="1:5" x14ac:dyDescent="0.3">
      <c r="A225" s="3" t="s">
        <v>19</v>
      </c>
      <c r="B225" s="3" t="s">
        <v>35</v>
      </c>
      <c r="C225" s="3" t="s">
        <v>7</v>
      </c>
      <c r="D225" s="4">
        <v>189817</v>
      </c>
      <c r="E225" s="4">
        <v>67894</v>
      </c>
    </row>
    <row r="226" spans="1:5" x14ac:dyDescent="0.3">
      <c r="A226" s="3" t="s">
        <v>19</v>
      </c>
      <c r="B226" s="3" t="s">
        <v>35</v>
      </c>
      <c r="C226" s="3" t="s">
        <v>8</v>
      </c>
      <c r="D226" s="4">
        <v>170196</v>
      </c>
      <c r="E226" s="4">
        <v>71451</v>
      </c>
    </row>
    <row r="227" spans="1:5" x14ac:dyDescent="0.3">
      <c r="A227" s="3" t="s">
        <v>19</v>
      </c>
      <c r="B227" s="3" t="s">
        <v>35</v>
      </c>
      <c r="C227" s="3" t="s">
        <v>9</v>
      </c>
      <c r="D227" s="4">
        <v>175015</v>
      </c>
      <c r="E227" s="4">
        <v>82779</v>
      </c>
    </row>
    <row r="228" spans="1:5" x14ac:dyDescent="0.3">
      <c r="A228" s="3" t="s">
        <v>19</v>
      </c>
      <c r="B228" s="3" t="s">
        <v>35</v>
      </c>
      <c r="C228" s="3" t="s">
        <v>10</v>
      </c>
      <c r="D228" s="4">
        <v>232845</v>
      </c>
      <c r="E228" s="4">
        <v>91222</v>
      </c>
    </row>
    <row r="229" spans="1:5" x14ac:dyDescent="0.3">
      <c r="A229" s="3" t="s">
        <v>19</v>
      </c>
      <c r="B229" s="3" t="s">
        <v>35</v>
      </c>
      <c r="C229" s="3" t="s">
        <v>11</v>
      </c>
      <c r="D229" s="4">
        <v>284108</v>
      </c>
      <c r="E229" s="4">
        <v>133660</v>
      </c>
    </row>
    <row r="230" spans="1:5" x14ac:dyDescent="0.3">
      <c r="A230" s="3" t="s">
        <v>19</v>
      </c>
      <c r="B230" s="3" t="s">
        <v>35</v>
      </c>
      <c r="C230" s="3" t="s">
        <v>12</v>
      </c>
      <c r="D230" s="4">
        <v>296174</v>
      </c>
      <c r="E230" s="4">
        <v>134630</v>
      </c>
    </row>
    <row r="231" spans="1:5" x14ac:dyDescent="0.3">
      <c r="A231" s="3" t="s">
        <v>19</v>
      </c>
      <c r="B231" s="3" t="s">
        <v>35</v>
      </c>
      <c r="C231" s="3" t="s">
        <v>13</v>
      </c>
      <c r="D231" s="4">
        <v>297765</v>
      </c>
      <c r="E231" s="4">
        <v>222416</v>
      </c>
    </row>
    <row r="232" spans="1:5" x14ac:dyDescent="0.3">
      <c r="A232" s="3" t="s">
        <v>19</v>
      </c>
      <c r="B232" s="3" t="s">
        <v>34</v>
      </c>
      <c r="C232" s="3" t="s">
        <v>2</v>
      </c>
      <c r="D232" s="4">
        <v>5370</v>
      </c>
      <c r="E232" s="4">
        <v>880</v>
      </c>
    </row>
    <row r="233" spans="1:5" x14ac:dyDescent="0.3">
      <c r="A233" s="3" t="s">
        <v>19</v>
      </c>
      <c r="B233" s="3" t="s">
        <v>34</v>
      </c>
      <c r="C233" s="3" t="s">
        <v>3</v>
      </c>
      <c r="D233" s="4">
        <v>4143</v>
      </c>
      <c r="E233" s="4">
        <v>544</v>
      </c>
    </row>
    <row r="234" spans="1:5" x14ac:dyDescent="0.3">
      <c r="A234" s="3" t="s">
        <v>19</v>
      </c>
      <c r="B234" s="3" t="s">
        <v>34</v>
      </c>
      <c r="C234" s="3" t="s">
        <v>4</v>
      </c>
      <c r="D234" s="4">
        <v>3778</v>
      </c>
      <c r="E234" s="4">
        <v>478</v>
      </c>
    </row>
    <row r="235" spans="1:5" x14ac:dyDescent="0.3">
      <c r="A235" s="3" t="s">
        <v>19</v>
      </c>
      <c r="B235" s="3" t="s">
        <v>34</v>
      </c>
      <c r="C235" s="3" t="s">
        <v>5</v>
      </c>
      <c r="D235" s="4">
        <v>3516</v>
      </c>
      <c r="E235" s="4">
        <v>374</v>
      </c>
    </row>
    <row r="236" spans="1:5" x14ac:dyDescent="0.3">
      <c r="A236" s="3" t="s">
        <v>19</v>
      </c>
      <c r="B236" s="3" t="s">
        <v>34</v>
      </c>
      <c r="C236" s="3" t="s">
        <v>6</v>
      </c>
      <c r="D236" s="4">
        <v>2943</v>
      </c>
      <c r="E236" s="4">
        <v>357</v>
      </c>
    </row>
    <row r="237" spans="1:5" x14ac:dyDescent="0.3">
      <c r="A237" s="3" t="s">
        <v>19</v>
      </c>
      <c r="B237" s="3" t="s">
        <v>34</v>
      </c>
      <c r="C237" s="3" t="s">
        <v>7</v>
      </c>
      <c r="D237" s="4">
        <v>18363</v>
      </c>
      <c r="E237" s="4">
        <v>1879</v>
      </c>
    </row>
    <row r="238" spans="1:5" x14ac:dyDescent="0.3">
      <c r="A238" s="3" t="s">
        <v>19</v>
      </c>
      <c r="B238" s="3" t="s">
        <v>34</v>
      </c>
      <c r="C238" s="3" t="s">
        <v>8</v>
      </c>
      <c r="D238" s="4">
        <v>29150</v>
      </c>
      <c r="E238" s="4">
        <v>5752</v>
      </c>
    </row>
    <row r="239" spans="1:5" x14ac:dyDescent="0.3">
      <c r="A239" s="3" t="s">
        <v>19</v>
      </c>
      <c r="B239" s="3" t="s">
        <v>34</v>
      </c>
      <c r="C239" s="3" t="s">
        <v>9</v>
      </c>
      <c r="D239" s="4">
        <v>23444</v>
      </c>
      <c r="E239" s="4">
        <v>12323</v>
      </c>
    </row>
    <row r="240" spans="1:5" x14ac:dyDescent="0.3">
      <c r="A240" s="3" t="s">
        <v>19</v>
      </c>
      <c r="B240" s="3" t="s">
        <v>34</v>
      </c>
      <c r="C240" s="3" t="s">
        <v>10</v>
      </c>
      <c r="D240" s="4">
        <v>11194</v>
      </c>
      <c r="E240" s="4">
        <v>1830</v>
      </c>
    </row>
    <row r="241" spans="1:5" x14ac:dyDescent="0.3">
      <c r="A241" s="3" t="s">
        <v>19</v>
      </c>
      <c r="B241" s="3" t="s">
        <v>34</v>
      </c>
      <c r="C241" s="3" t="s">
        <v>11</v>
      </c>
      <c r="D241" s="4">
        <v>8244</v>
      </c>
      <c r="E241" s="4">
        <v>1930</v>
      </c>
    </row>
    <row r="242" spans="1:5" x14ac:dyDescent="0.3">
      <c r="A242" s="3" t="s">
        <v>19</v>
      </c>
      <c r="B242" s="3" t="s">
        <v>34</v>
      </c>
      <c r="C242" s="3" t="s">
        <v>12</v>
      </c>
      <c r="D242" s="4">
        <v>9940</v>
      </c>
      <c r="E242" s="4">
        <v>3383</v>
      </c>
    </row>
    <row r="243" spans="1:5" x14ac:dyDescent="0.3">
      <c r="A243" s="3" t="s">
        <v>19</v>
      </c>
      <c r="B243" s="3" t="s">
        <v>34</v>
      </c>
      <c r="C243" s="3" t="s">
        <v>13</v>
      </c>
      <c r="D243" s="4">
        <v>6738</v>
      </c>
      <c r="E243" s="4">
        <v>1482</v>
      </c>
    </row>
    <row r="244" spans="1:5" x14ac:dyDescent="0.3">
      <c r="A244" s="3" t="s">
        <v>20</v>
      </c>
      <c r="B244" s="3" t="s">
        <v>37</v>
      </c>
      <c r="C244" s="3" t="s">
        <v>2</v>
      </c>
      <c r="D244" s="4">
        <v>103164</v>
      </c>
      <c r="E244" s="4">
        <v>31189</v>
      </c>
    </row>
    <row r="245" spans="1:5" x14ac:dyDescent="0.3">
      <c r="A245" s="3" t="s">
        <v>20</v>
      </c>
      <c r="B245" s="3" t="s">
        <v>37</v>
      </c>
      <c r="C245" s="3" t="s">
        <v>3</v>
      </c>
      <c r="D245" s="4">
        <v>125490</v>
      </c>
      <c r="E245" s="4">
        <v>41154</v>
      </c>
    </row>
    <row r="246" spans="1:5" x14ac:dyDescent="0.3">
      <c r="A246" s="3" t="s">
        <v>20</v>
      </c>
      <c r="B246" s="3" t="s">
        <v>37</v>
      </c>
      <c r="C246" s="3" t="s">
        <v>4</v>
      </c>
      <c r="D246" s="4">
        <v>139798</v>
      </c>
      <c r="E246" s="4">
        <v>49732</v>
      </c>
    </row>
    <row r="247" spans="1:5" x14ac:dyDescent="0.3">
      <c r="A247" s="3" t="s">
        <v>20</v>
      </c>
      <c r="B247" s="3" t="s">
        <v>37</v>
      </c>
      <c r="C247" s="3" t="s">
        <v>5</v>
      </c>
      <c r="D247" s="4">
        <v>127907</v>
      </c>
      <c r="E247" s="4">
        <v>40476</v>
      </c>
    </row>
    <row r="248" spans="1:5" x14ac:dyDescent="0.3">
      <c r="A248" s="3" t="s">
        <v>20</v>
      </c>
      <c r="B248" s="3" t="s">
        <v>37</v>
      </c>
      <c r="C248" s="3" t="s">
        <v>6</v>
      </c>
      <c r="D248" s="4">
        <v>115592</v>
      </c>
      <c r="E248" s="4">
        <v>42888</v>
      </c>
    </row>
    <row r="249" spans="1:5" x14ac:dyDescent="0.3">
      <c r="A249" s="3" t="s">
        <v>20</v>
      </c>
      <c r="B249" s="3" t="s">
        <v>37</v>
      </c>
      <c r="C249" s="3" t="s">
        <v>7</v>
      </c>
      <c r="D249" s="4">
        <v>136343</v>
      </c>
      <c r="E249" s="4">
        <v>46825</v>
      </c>
    </row>
    <row r="250" spans="1:5" x14ac:dyDescent="0.3">
      <c r="A250" s="3" t="s">
        <v>20</v>
      </c>
      <c r="B250" s="3" t="s">
        <v>37</v>
      </c>
      <c r="C250" s="3" t="s">
        <v>8</v>
      </c>
      <c r="D250" s="4">
        <v>117350</v>
      </c>
      <c r="E250" s="4">
        <v>41507</v>
      </c>
    </row>
    <row r="251" spans="1:5" x14ac:dyDescent="0.3">
      <c r="A251" s="3" t="s">
        <v>20</v>
      </c>
      <c r="B251" s="3" t="s">
        <v>37</v>
      </c>
      <c r="C251" s="3" t="s">
        <v>9</v>
      </c>
      <c r="D251" s="4">
        <v>122892</v>
      </c>
      <c r="E251" s="4">
        <v>51960</v>
      </c>
    </row>
    <row r="252" spans="1:5" x14ac:dyDescent="0.3">
      <c r="A252" s="3" t="s">
        <v>20</v>
      </c>
      <c r="B252" s="3" t="s">
        <v>37</v>
      </c>
      <c r="C252" s="3" t="s">
        <v>10</v>
      </c>
      <c r="D252" s="4">
        <v>136992</v>
      </c>
      <c r="E252" s="4">
        <v>42932</v>
      </c>
    </row>
    <row r="253" spans="1:5" x14ac:dyDescent="0.3">
      <c r="A253" s="3" t="s">
        <v>20</v>
      </c>
      <c r="B253" s="3" t="s">
        <v>37</v>
      </c>
      <c r="C253" s="3" t="s">
        <v>11</v>
      </c>
      <c r="D253" s="4">
        <v>118948</v>
      </c>
      <c r="E253" s="4">
        <v>40558</v>
      </c>
    </row>
    <row r="254" spans="1:5" x14ac:dyDescent="0.3">
      <c r="A254" s="3" t="s">
        <v>20</v>
      </c>
      <c r="B254" s="3" t="s">
        <v>37</v>
      </c>
      <c r="C254" s="3" t="s">
        <v>12</v>
      </c>
      <c r="D254" s="4">
        <v>109707</v>
      </c>
      <c r="E254" s="4">
        <v>53429</v>
      </c>
    </row>
    <row r="255" spans="1:5" x14ac:dyDescent="0.3">
      <c r="A255" s="3" t="s">
        <v>20</v>
      </c>
      <c r="B255" s="3" t="s">
        <v>37</v>
      </c>
      <c r="C255" s="3" t="s">
        <v>13</v>
      </c>
      <c r="D255" s="4">
        <v>121936</v>
      </c>
      <c r="E255" s="4">
        <v>76540</v>
      </c>
    </row>
    <row r="256" spans="1:5" x14ac:dyDescent="0.3">
      <c r="A256" s="3" t="s">
        <v>20</v>
      </c>
      <c r="B256" s="3" t="s">
        <v>38</v>
      </c>
      <c r="C256" s="3" t="s">
        <v>2</v>
      </c>
      <c r="D256" s="4">
        <v>94663</v>
      </c>
      <c r="E256" s="4">
        <v>22959</v>
      </c>
    </row>
    <row r="257" spans="1:5" x14ac:dyDescent="0.3">
      <c r="A257" s="3" t="s">
        <v>20</v>
      </c>
      <c r="B257" s="3" t="s">
        <v>38</v>
      </c>
      <c r="C257" s="3" t="s">
        <v>3</v>
      </c>
      <c r="D257" s="4">
        <v>128530</v>
      </c>
      <c r="E257" s="4">
        <v>33194</v>
      </c>
    </row>
    <row r="258" spans="1:5" x14ac:dyDescent="0.3">
      <c r="A258" s="3" t="s">
        <v>20</v>
      </c>
      <c r="B258" s="3" t="s">
        <v>38</v>
      </c>
      <c r="C258" s="3" t="s">
        <v>4</v>
      </c>
      <c r="D258" s="4">
        <v>131830</v>
      </c>
      <c r="E258" s="4">
        <v>41498</v>
      </c>
    </row>
    <row r="259" spans="1:5" x14ac:dyDescent="0.3">
      <c r="A259" s="3" t="s">
        <v>20</v>
      </c>
      <c r="B259" s="3" t="s">
        <v>38</v>
      </c>
      <c r="C259" s="3" t="s">
        <v>5</v>
      </c>
      <c r="D259" s="4">
        <v>124974</v>
      </c>
      <c r="E259" s="4">
        <v>33720</v>
      </c>
    </row>
    <row r="260" spans="1:5" x14ac:dyDescent="0.3">
      <c r="A260" s="3" t="s">
        <v>20</v>
      </c>
      <c r="B260" s="3" t="s">
        <v>38</v>
      </c>
      <c r="C260" s="3" t="s">
        <v>6</v>
      </c>
      <c r="D260" s="4">
        <v>113359</v>
      </c>
      <c r="E260" s="4">
        <v>34520</v>
      </c>
    </row>
    <row r="261" spans="1:5" x14ac:dyDescent="0.3">
      <c r="A261" s="3" t="s">
        <v>20</v>
      </c>
      <c r="B261" s="3" t="s">
        <v>38</v>
      </c>
      <c r="C261" s="3" t="s">
        <v>7</v>
      </c>
      <c r="D261" s="4">
        <v>113666</v>
      </c>
      <c r="E261" s="4">
        <v>32597</v>
      </c>
    </row>
    <row r="262" spans="1:5" x14ac:dyDescent="0.3">
      <c r="A262" s="3" t="s">
        <v>20</v>
      </c>
      <c r="B262" s="3" t="s">
        <v>38</v>
      </c>
      <c r="C262" s="3" t="s">
        <v>8</v>
      </c>
      <c r="D262" s="4">
        <v>136163</v>
      </c>
      <c r="E262" s="4">
        <v>38551</v>
      </c>
    </row>
    <row r="263" spans="1:5" x14ac:dyDescent="0.3">
      <c r="A263" s="3" t="s">
        <v>20</v>
      </c>
      <c r="B263" s="3" t="s">
        <v>38</v>
      </c>
      <c r="C263" s="3" t="s">
        <v>9</v>
      </c>
      <c r="D263" s="4">
        <v>159367</v>
      </c>
      <c r="E263" s="4">
        <v>49165</v>
      </c>
    </row>
    <row r="264" spans="1:5" x14ac:dyDescent="0.3">
      <c r="A264" s="3" t="s">
        <v>20</v>
      </c>
      <c r="B264" s="3" t="s">
        <v>38</v>
      </c>
      <c r="C264" s="3" t="s">
        <v>10</v>
      </c>
      <c r="D264" s="4">
        <v>149131</v>
      </c>
      <c r="E264" s="4">
        <v>31717</v>
      </c>
    </row>
    <row r="265" spans="1:5" x14ac:dyDescent="0.3">
      <c r="A265" s="3" t="s">
        <v>20</v>
      </c>
      <c r="B265" s="3" t="s">
        <v>38</v>
      </c>
      <c r="C265" s="3" t="s">
        <v>11</v>
      </c>
      <c r="D265" s="4">
        <v>138622</v>
      </c>
      <c r="E265" s="4">
        <v>34421</v>
      </c>
    </row>
    <row r="266" spans="1:5" x14ac:dyDescent="0.3">
      <c r="A266" s="3" t="s">
        <v>20</v>
      </c>
      <c r="B266" s="3" t="s">
        <v>38</v>
      </c>
      <c r="C266" s="3" t="s">
        <v>12</v>
      </c>
      <c r="D266" s="4">
        <v>126827</v>
      </c>
      <c r="E266" s="4">
        <v>44080</v>
      </c>
    </row>
    <row r="267" spans="1:5" x14ac:dyDescent="0.3">
      <c r="A267" s="3" t="s">
        <v>20</v>
      </c>
      <c r="B267" s="3" t="s">
        <v>38</v>
      </c>
      <c r="C267" s="3" t="s">
        <v>13</v>
      </c>
      <c r="D267" s="4">
        <v>119910</v>
      </c>
      <c r="E267" s="4">
        <v>70103</v>
      </c>
    </row>
    <row r="268" spans="1:5" x14ac:dyDescent="0.3">
      <c r="A268" s="3" t="s">
        <v>20</v>
      </c>
      <c r="B268" s="3" t="s">
        <v>36</v>
      </c>
      <c r="C268" s="3" t="s">
        <v>2</v>
      </c>
      <c r="D268" s="4">
        <v>34412</v>
      </c>
      <c r="E268" s="4">
        <v>13584</v>
      </c>
    </row>
    <row r="269" spans="1:5" x14ac:dyDescent="0.3">
      <c r="A269" s="3" t="s">
        <v>20</v>
      </c>
      <c r="B269" s="3" t="s">
        <v>36</v>
      </c>
      <c r="C269" s="3" t="s">
        <v>3</v>
      </c>
      <c r="D269" s="4">
        <v>34365</v>
      </c>
      <c r="E269" s="4">
        <v>12031</v>
      </c>
    </row>
    <row r="270" spans="1:5" x14ac:dyDescent="0.3">
      <c r="A270" s="3" t="s">
        <v>20</v>
      </c>
      <c r="B270" s="3" t="s">
        <v>36</v>
      </c>
      <c r="C270" s="3" t="s">
        <v>4</v>
      </c>
      <c r="D270" s="4">
        <v>34686</v>
      </c>
      <c r="E270" s="4">
        <v>13287</v>
      </c>
    </row>
    <row r="271" spans="1:5" x14ac:dyDescent="0.3">
      <c r="A271" s="3" t="s">
        <v>20</v>
      </c>
      <c r="B271" s="3" t="s">
        <v>36</v>
      </c>
      <c r="C271" s="3" t="s">
        <v>5</v>
      </c>
      <c r="D271" s="4">
        <v>49193</v>
      </c>
      <c r="E271" s="4">
        <v>12867</v>
      </c>
    </row>
    <row r="272" spans="1:5" x14ac:dyDescent="0.3">
      <c r="A272" s="3" t="s">
        <v>20</v>
      </c>
      <c r="B272" s="3" t="s">
        <v>36</v>
      </c>
      <c r="C272" s="3" t="s">
        <v>6</v>
      </c>
      <c r="D272" s="4">
        <v>42818</v>
      </c>
      <c r="E272" s="4">
        <v>13407</v>
      </c>
    </row>
    <row r="273" spans="1:5" x14ac:dyDescent="0.3">
      <c r="A273" s="3" t="s">
        <v>20</v>
      </c>
      <c r="B273" s="3" t="s">
        <v>36</v>
      </c>
      <c r="C273" s="3" t="s">
        <v>7</v>
      </c>
      <c r="D273" s="4">
        <v>40795</v>
      </c>
      <c r="E273" s="4">
        <v>11929</v>
      </c>
    </row>
    <row r="274" spans="1:5" x14ac:dyDescent="0.3">
      <c r="A274" s="3" t="s">
        <v>20</v>
      </c>
      <c r="B274" s="3" t="s">
        <v>36</v>
      </c>
      <c r="C274" s="3" t="s">
        <v>8</v>
      </c>
      <c r="D274" s="4">
        <v>42541</v>
      </c>
      <c r="E274" s="4">
        <v>12287</v>
      </c>
    </row>
    <row r="275" spans="1:5" x14ac:dyDescent="0.3">
      <c r="A275" s="3" t="s">
        <v>20</v>
      </c>
      <c r="B275" s="3" t="s">
        <v>36</v>
      </c>
      <c r="C275" s="3" t="s">
        <v>9</v>
      </c>
      <c r="D275" s="4">
        <v>41276</v>
      </c>
      <c r="E275" s="4">
        <v>16779</v>
      </c>
    </row>
    <row r="276" spans="1:5" x14ac:dyDescent="0.3">
      <c r="A276" s="3" t="s">
        <v>20</v>
      </c>
      <c r="B276" s="3" t="s">
        <v>36</v>
      </c>
      <c r="C276" s="3" t="s">
        <v>10</v>
      </c>
      <c r="D276" s="4">
        <v>59897</v>
      </c>
      <c r="E276" s="4">
        <v>12357</v>
      </c>
    </row>
    <row r="277" spans="1:5" x14ac:dyDescent="0.3">
      <c r="A277" s="3" t="s">
        <v>20</v>
      </c>
      <c r="B277" s="3" t="s">
        <v>36</v>
      </c>
      <c r="C277" s="3" t="s">
        <v>11</v>
      </c>
      <c r="D277" s="4">
        <v>69668</v>
      </c>
      <c r="E277" s="4">
        <v>12997</v>
      </c>
    </row>
    <row r="278" spans="1:5" x14ac:dyDescent="0.3">
      <c r="A278" s="3" t="s">
        <v>20</v>
      </c>
      <c r="B278" s="3" t="s">
        <v>36</v>
      </c>
      <c r="C278" s="3" t="s">
        <v>12</v>
      </c>
      <c r="D278" s="4">
        <v>67794</v>
      </c>
      <c r="E278" s="4">
        <v>18043</v>
      </c>
    </row>
    <row r="279" spans="1:5" x14ac:dyDescent="0.3">
      <c r="A279" s="3" t="s">
        <v>20</v>
      </c>
      <c r="B279" s="3" t="s">
        <v>36</v>
      </c>
      <c r="C279" s="3" t="s">
        <v>13</v>
      </c>
      <c r="D279" s="4">
        <v>69257</v>
      </c>
      <c r="E279" s="4">
        <v>30855</v>
      </c>
    </row>
    <row r="280" spans="1:5" x14ac:dyDescent="0.3">
      <c r="A280" s="3" t="s">
        <v>20</v>
      </c>
      <c r="B280" s="3" t="s">
        <v>35</v>
      </c>
      <c r="C280" s="3" t="s">
        <v>2</v>
      </c>
      <c r="D280" s="4">
        <v>107064</v>
      </c>
      <c r="E280" s="4">
        <v>23285</v>
      </c>
    </row>
    <row r="281" spans="1:5" x14ac:dyDescent="0.3">
      <c r="A281" s="3" t="s">
        <v>20</v>
      </c>
      <c r="B281" s="3" t="s">
        <v>35</v>
      </c>
      <c r="C281" s="3" t="s">
        <v>3</v>
      </c>
      <c r="D281" s="4">
        <v>118965</v>
      </c>
      <c r="E281" s="4">
        <v>28669</v>
      </c>
    </row>
    <row r="282" spans="1:5" x14ac:dyDescent="0.3">
      <c r="A282" s="3" t="s">
        <v>20</v>
      </c>
      <c r="B282" s="3" t="s">
        <v>35</v>
      </c>
      <c r="C282" s="3" t="s">
        <v>4</v>
      </c>
      <c r="D282" s="4">
        <v>167468</v>
      </c>
      <c r="E282" s="4">
        <v>39518</v>
      </c>
    </row>
    <row r="283" spans="1:5" x14ac:dyDescent="0.3">
      <c r="A283" s="3" t="s">
        <v>20</v>
      </c>
      <c r="B283" s="3" t="s">
        <v>35</v>
      </c>
      <c r="C283" s="3" t="s">
        <v>5</v>
      </c>
      <c r="D283" s="4">
        <v>180114</v>
      </c>
      <c r="E283" s="4">
        <v>33344</v>
      </c>
    </row>
    <row r="284" spans="1:5" x14ac:dyDescent="0.3">
      <c r="A284" s="3" t="s">
        <v>20</v>
      </c>
      <c r="B284" s="3" t="s">
        <v>35</v>
      </c>
      <c r="C284" s="3" t="s">
        <v>6</v>
      </c>
      <c r="D284" s="4">
        <v>162668</v>
      </c>
      <c r="E284" s="4">
        <v>32492</v>
      </c>
    </row>
    <row r="285" spans="1:5" x14ac:dyDescent="0.3">
      <c r="A285" s="3" t="s">
        <v>20</v>
      </c>
      <c r="B285" s="3" t="s">
        <v>35</v>
      </c>
      <c r="C285" s="3" t="s">
        <v>7</v>
      </c>
      <c r="D285" s="4">
        <v>142859</v>
      </c>
      <c r="E285" s="4">
        <v>27328</v>
      </c>
    </row>
    <row r="286" spans="1:5" x14ac:dyDescent="0.3">
      <c r="A286" s="3" t="s">
        <v>20</v>
      </c>
      <c r="B286" s="3" t="s">
        <v>35</v>
      </c>
      <c r="C286" s="3" t="s">
        <v>8</v>
      </c>
      <c r="D286" s="4">
        <v>131975</v>
      </c>
      <c r="E286" s="4">
        <v>27587</v>
      </c>
    </row>
    <row r="287" spans="1:5" x14ac:dyDescent="0.3">
      <c r="A287" s="3" t="s">
        <v>20</v>
      </c>
      <c r="B287" s="3" t="s">
        <v>35</v>
      </c>
      <c r="C287" s="3" t="s">
        <v>9</v>
      </c>
      <c r="D287" s="4">
        <v>128669</v>
      </c>
      <c r="E287" s="4">
        <v>28540</v>
      </c>
    </row>
    <row r="288" spans="1:5" x14ac:dyDescent="0.3">
      <c r="A288" s="3" t="s">
        <v>20</v>
      </c>
      <c r="B288" s="3" t="s">
        <v>35</v>
      </c>
      <c r="C288" s="3" t="s">
        <v>10</v>
      </c>
      <c r="D288" s="4">
        <v>160363</v>
      </c>
      <c r="E288" s="4">
        <v>28261</v>
      </c>
    </row>
    <row r="289" spans="1:5" x14ac:dyDescent="0.3">
      <c r="A289" s="3" t="s">
        <v>20</v>
      </c>
      <c r="B289" s="3" t="s">
        <v>35</v>
      </c>
      <c r="C289" s="3" t="s">
        <v>11</v>
      </c>
      <c r="D289" s="4">
        <v>174893</v>
      </c>
      <c r="E289" s="4">
        <v>37798</v>
      </c>
    </row>
    <row r="290" spans="1:5" x14ac:dyDescent="0.3">
      <c r="A290" s="3" t="s">
        <v>20</v>
      </c>
      <c r="B290" s="3" t="s">
        <v>35</v>
      </c>
      <c r="C290" s="3" t="s">
        <v>12</v>
      </c>
      <c r="D290" s="4">
        <v>173651</v>
      </c>
      <c r="E290" s="4">
        <v>50060</v>
      </c>
    </row>
    <row r="291" spans="1:5" x14ac:dyDescent="0.3">
      <c r="A291" s="3" t="s">
        <v>20</v>
      </c>
      <c r="B291" s="3" t="s">
        <v>35</v>
      </c>
      <c r="C291" s="3" t="s">
        <v>13</v>
      </c>
      <c r="D291" s="4">
        <v>159512</v>
      </c>
      <c r="E291" s="4">
        <v>78880</v>
      </c>
    </row>
    <row r="292" spans="1:5" x14ac:dyDescent="0.3">
      <c r="A292" s="3" t="s">
        <v>20</v>
      </c>
      <c r="B292" s="3" t="s">
        <v>34</v>
      </c>
      <c r="C292" s="3" t="s">
        <v>2</v>
      </c>
      <c r="D292" s="4">
        <v>4163</v>
      </c>
      <c r="E292" s="4">
        <v>559</v>
      </c>
    </row>
    <row r="293" spans="1:5" x14ac:dyDescent="0.3">
      <c r="A293" s="3" t="s">
        <v>20</v>
      </c>
      <c r="B293" s="3" t="s">
        <v>34</v>
      </c>
      <c r="C293" s="3" t="s">
        <v>3</v>
      </c>
      <c r="D293" s="4">
        <v>3583</v>
      </c>
      <c r="E293" s="4">
        <v>496</v>
      </c>
    </row>
    <row r="294" spans="1:5" x14ac:dyDescent="0.3">
      <c r="A294" s="3" t="s">
        <v>20</v>
      </c>
      <c r="B294" s="3" t="s">
        <v>34</v>
      </c>
      <c r="C294" s="3" t="s">
        <v>4</v>
      </c>
      <c r="D294" s="4">
        <v>3144</v>
      </c>
      <c r="E294" s="4">
        <v>364</v>
      </c>
    </row>
    <row r="295" spans="1:5" x14ac:dyDescent="0.3">
      <c r="A295" s="3" t="s">
        <v>20</v>
      </c>
      <c r="B295" s="3" t="s">
        <v>34</v>
      </c>
      <c r="C295" s="3" t="s">
        <v>5</v>
      </c>
      <c r="D295" s="4">
        <v>2610</v>
      </c>
      <c r="E295" s="4">
        <v>278</v>
      </c>
    </row>
    <row r="296" spans="1:5" x14ac:dyDescent="0.3">
      <c r="A296" s="3" t="s">
        <v>20</v>
      </c>
      <c r="B296" s="3" t="s">
        <v>34</v>
      </c>
      <c r="C296" s="3" t="s">
        <v>6</v>
      </c>
      <c r="D296" s="4">
        <v>2308</v>
      </c>
      <c r="E296" s="4">
        <v>270</v>
      </c>
    </row>
    <row r="297" spans="1:5" x14ac:dyDescent="0.3">
      <c r="A297" s="3" t="s">
        <v>20</v>
      </c>
      <c r="B297" s="3" t="s">
        <v>34</v>
      </c>
      <c r="C297" s="3" t="s">
        <v>7</v>
      </c>
      <c r="D297" s="4">
        <v>13173</v>
      </c>
      <c r="E297" s="4">
        <v>1377</v>
      </c>
    </row>
    <row r="298" spans="1:5" x14ac:dyDescent="0.3">
      <c r="A298" s="3" t="s">
        <v>20</v>
      </c>
      <c r="B298" s="3" t="s">
        <v>34</v>
      </c>
      <c r="C298" s="3" t="s">
        <v>8</v>
      </c>
      <c r="D298" s="4">
        <v>24059</v>
      </c>
      <c r="E298" s="4">
        <v>5644</v>
      </c>
    </row>
    <row r="299" spans="1:5" x14ac:dyDescent="0.3">
      <c r="A299" s="3" t="s">
        <v>20</v>
      </c>
      <c r="B299" s="3" t="s">
        <v>34</v>
      </c>
      <c r="C299" s="3" t="s">
        <v>9</v>
      </c>
      <c r="D299" s="4">
        <v>19324</v>
      </c>
      <c r="E299" s="4">
        <v>8746</v>
      </c>
    </row>
    <row r="300" spans="1:5" x14ac:dyDescent="0.3">
      <c r="A300" s="3" t="s">
        <v>20</v>
      </c>
      <c r="B300" s="3" t="s">
        <v>34</v>
      </c>
      <c r="C300" s="3" t="s">
        <v>10</v>
      </c>
      <c r="D300" s="4">
        <v>10995</v>
      </c>
      <c r="E300" s="4">
        <v>999</v>
      </c>
    </row>
    <row r="301" spans="1:5" x14ac:dyDescent="0.3">
      <c r="A301" s="3" t="s">
        <v>20</v>
      </c>
      <c r="B301" s="3" t="s">
        <v>34</v>
      </c>
      <c r="C301" s="3" t="s">
        <v>11</v>
      </c>
      <c r="D301" s="4">
        <v>8986</v>
      </c>
      <c r="E301" s="4">
        <v>1749</v>
      </c>
    </row>
    <row r="302" spans="1:5" x14ac:dyDescent="0.3">
      <c r="A302" s="3" t="s">
        <v>20</v>
      </c>
      <c r="B302" s="3" t="s">
        <v>34</v>
      </c>
      <c r="C302" s="3" t="s">
        <v>12</v>
      </c>
      <c r="D302" s="4">
        <v>10023</v>
      </c>
      <c r="E302" s="4">
        <v>3197</v>
      </c>
    </row>
    <row r="303" spans="1:5" x14ac:dyDescent="0.3">
      <c r="A303" s="3" t="s">
        <v>20</v>
      </c>
      <c r="B303" s="3" t="s">
        <v>34</v>
      </c>
      <c r="C303" s="3" t="s">
        <v>13</v>
      </c>
      <c r="D303" s="4">
        <v>7329</v>
      </c>
      <c r="E303" s="4">
        <v>1208</v>
      </c>
    </row>
    <row r="304" spans="1:5" x14ac:dyDescent="0.3">
      <c r="A304" s="3" t="s">
        <v>21</v>
      </c>
      <c r="B304" s="3" t="s">
        <v>37</v>
      </c>
      <c r="C304" s="3" t="s">
        <v>2</v>
      </c>
      <c r="D304" s="4">
        <v>83291</v>
      </c>
      <c r="E304" s="4">
        <v>22716</v>
      </c>
    </row>
    <row r="305" spans="1:5" x14ac:dyDescent="0.3">
      <c r="A305" s="3" t="s">
        <v>21</v>
      </c>
      <c r="B305" s="3" t="s">
        <v>37</v>
      </c>
      <c r="C305" s="3" t="s">
        <v>3</v>
      </c>
      <c r="D305" s="4">
        <v>102537</v>
      </c>
      <c r="E305" s="4">
        <v>30292</v>
      </c>
    </row>
    <row r="306" spans="1:5" x14ac:dyDescent="0.3">
      <c r="A306" s="3" t="s">
        <v>21</v>
      </c>
      <c r="B306" s="3" t="s">
        <v>37</v>
      </c>
      <c r="C306" s="3" t="s">
        <v>4</v>
      </c>
      <c r="D306" s="4">
        <v>111565</v>
      </c>
      <c r="E306" s="4">
        <v>35332</v>
      </c>
    </row>
    <row r="307" spans="1:5" x14ac:dyDescent="0.3">
      <c r="A307" s="3" t="s">
        <v>21</v>
      </c>
      <c r="B307" s="3" t="s">
        <v>37</v>
      </c>
      <c r="C307" s="3" t="s">
        <v>5</v>
      </c>
      <c r="D307" s="4">
        <v>101129</v>
      </c>
      <c r="E307" s="4">
        <v>29570</v>
      </c>
    </row>
    <row r="308" spans="1:5" x14ac:dyDescent="0.3">
      <c r="A308" s="3" t="s">
        <v>21</v>
      </c>
      <c r="B308" s="3" t="s">
        <v>37</v>
      </c>
      <c r="C308" s="3" t="s">
        <v>6</v>
      </c>
      <c r="D308" s="4">
        <v>91575</v>
      </c>
      <c r="E308" s="4">
        <v>31479</v>
      </c>
    </row>
    <row r="309" spans="1:5" x14ac:dyDescent="0.3">
      <c r="A309" s="3" t="s">
        <v>21</v>
      </c>
      <c r="B309" s="3" t="s">
        <v>37</v>
      </c>
      <c r="C309" s="3" t="s">
        <v>7</v>
      </c>
      <c r="D309" s="4">
        <v>106812</v>
      </c>
      <c r="E309" s="4">
        <v>33465</v>
      </c>
    </row>
    <row r="310" spans="1:5" x14ac:dyDescent="0.3">
      <c r="A310" s="3" t="s">
        <v>21</v>
      </c>
      <c r="B310" s="3" t="s">
        <v>37</v>
      </c>
      <c r="C310" s="3" t="s">
        <v>8</v>
      </c>
      <c r="D310" s="4">
        <v>93821</v>
      </c>
      <c r="E310" s="4">
        <v>29429</v>
      </c>
    </row>
    <row r="311" spans="1:5" x14ac:dyDescent="0.3">
      <c r="A311" s="3" t="s">
        <v>21</v>
      </c>
      <c r="B311" s="3" t="s">
        <v>37</v>
      </c>
      <c r="C311" s="3" t="s">
        <v>9</v>
      </c>
      <c r="D311" s="4">
        <v>101335</v>
      </c>
      <c r="E311" s="4">
        <v>36682</v>
      </c>
    </row>
    <row r="312" spans="1:5" x14ac:dyDescent="0.3">
      <c r="A312" s="3" t="s">
        <v>21</v>
      </c>
      <c r="B312" s="3" t="s">
        <v>37</v>
      </c>
      <c r="C312" s="3" t="s">
        <v>10</v>
      </c>
      <c r="D312" s="4">
        <v>111316</v>
      </c>
      <c r="E312" s="4">
        <v>29837</v>
      </c>
    </row>
    <row r="313" spans="1:5" x14ac:dyDescent="0.3">
      <c r="A313" s="3" t="s">
        <v>21</v>
      </c>
      <c r="B313" s="3" t="s">
        <v>37</v>
      </c>
      <c r="C313" s="3" t="s">
        <v>11</v>
      </c>
      <c r="D313" s="4">
        <v>99058</v>
      </c>
      <c r="E313" s="4">
        <v>29825</v>
      </c>
    </row>
    <row r="314" spans="1:5" x14ac:dyDescent="0.3">
      <c r="A314" s="3" t="s">
        <v>21</v>
      </c>
      <c r="B314" s="3" t="s">
        <v>37</v>
      </c>
      <c r="C314" s="3" t="s">
        <v>12</v>
      </c>
      <c r="D314" s="4">
        <v>91584</v>
      </c>
      <c r="E314" s="4">
        <v>37441</v>
      </c>
    </row>
    <row r="315" spans="1:5" x14ac:dyDescent="0.3">
      <c r="A315" s="3" t="s">
        <v>21</v>
      </c>
      <c r="B315" s="3" t="s">
        <v>37</v>
      </c>
      <c r="C315" s="3" t="s">
        <v>13</v>
      </c>
      <c r="D315" s="4">
        <v>101270</v>
      </c>
      <c r="E315" s="4">
        <v>54582</v>
      </c>
    </row>
    <row r="316" spans="1:5" x14ac:dyDescent="0.3">
      <c r="A316" s="3" t="s">
        <v>21</v>
      </c>
      <c r="B316" s="3" t="s">
        <v>38</v>
      </c>
      <c r="C316" s="3" t="s">
        <v>2</v>
      </c>
      <c r="D316" s="4">
        <v>69876</v>
      </c>
      <c r="E316" s="4">
        <v>13888</v>
      </c>
    </row>
    <row r="317" spans="1:5" x14ac:dyDescent="0.3">
      <c r="A317" s="3" t="s">
        <v>21</v>
      </c>
      <c r="B317" s="3" t="s">
        <v>38</v>
      </c>
      <c r="C317" s="3" t="s">
        <v>3</v>
      </c>
      <c r="D317" s="4">
        <v>95796</v>
      </c>
      <c r="E317" s="4">
        <v>20437</v>
      </c>
    </row>
    <row r="318" spans="1:5" x14ac:dyDescent="0.3">
      <c r="A318" s="3" t="s">
        <v>21</v>
      </c>
      <c r="B318" s="3" t="s">
        <v>38</v>
      </c>
      <c r="C318" s="3" t="s">
        <v>4</v>
      </c>
      <c r="D318" s="4">
        <v>100713</v>
      </c>
      <c r="E318" s="4">
        <v>26008</v>
      </c>
    </row>
    <row r="319" spans="1:5" x14ac:dyDescent="0.3">
      <c r="A319" s="3" t="s">
        <v>21</v>
      </c>
      <c r="B319" s="3" t="s">
        <v>38</v>
      </c>
      <c r="C319" s="3" t="s">
        <v>5</v>
      </c>
      <c r="D319" s="4">
        <v>94811</v>
      </c>
      <c r="E319" s="4">
        <v>22204</v>
      </c>
    </row>
    <row r="320" spans="1:5" x14ac:dyDescent="0.3">
      <c r="A320" s="3" t="s">
        <v>21</v>
      </c>
      <c r="B320" s="3" t="s">
        <v>38</v>
      </c>
      <c r="C320" s="3" t="s">
        <v>6</v>
      </c>
      <c r="D320" s="4">
        <v>85507</v>
      </c>
      <c r="E320" s="4">
        <v>22848</v>
      </c>
    </row>
    <row r="321" spans="1:5" x14ac:dyDescent="0.3">
      <c r="A321" s="3" t="s">
        <v>21</v>
      </c>
      <c r="B321" s="3" t="s">
        <v>38</v>
      </c>
      <c r="C321" s="3" t="s">
        <v>7</v>
      </c>
      <c r="D321" s="4">
        <v>87250</v>
      </c>
      <c r="E321" s="4">
        <v>21619</v>
      </c>
    </row>
    <row r="322" spans="1:5" x14ac:dyDescent="0.3">
      <c r="A322" s="3" t="s">
        <v>21</v>
      </c>
      <c r="B322" s="3" t="s">
        <v>38</v>
      </c>
      <c r="C322" s="3" t="s">
        <v>8</v>
      </c>
      <c r="D322" s="4">
        <v>92974</v>
      </c>
      <c r="E322" s="4">
        <v>24214</v>
      </c>
    </row>
    <row r="323" spans="1:5" x14ac:dyDescent="0.3">
      <c r="A323" s="3" t="s">
        <v>21</v>
      </c>
      <c r="B323" s="3" t="s">
        <v>38</v>
      </c>
      <c r="C323" s="3" t="s">
        <v>9</v>
      </c>
      <c r="D323" s="4">
        <v>109575</v>
      </c>
      <c r="E323" s="4">
        <v>32673</v>
      </c>
    </row>
    <row r="324" spans="1:5" x14ac:dyDescent="0.3">
      <c r="A324" s="3" t="s">
        <v>21</v>
      </c>
      <c r="B324" s="3" t="s">
        <v>38</v>
      </c>
      <c r="C324" s="3" t="s">
        <v>10</v>
      </c>
      <c r="D324" s="4">
        <v>103504</v>
      </c>
      <c r="E324" s="4">
        <v>18510</v>
      </c>
    </row>
    <row r="325" spans="1:5" x14ac:dyDescent="0.3">
      <c r="A325" s="3" t="s">
        <v>21</v>
      </c>
      <c r="B325" s="3" t="s">
        <v>38</v>
      </c>
      <c r="C325" s="3" t="s">
        <v>11</v>
      </c>
      <c r="D325" s="4">
        <v>97386</v>
      </c>
      <c r="E325" s="4">
        <v>20853</v>
      </c>
    </row>
    <row r="326" spans="1:5" x14ac:dyDescent="0.3">
      <c r="A326" s="3" t="s">
        <v>21</v>
      </c>
      <c r="B326" s="3" t="s">
        <v>38</v>
      </c>
      <c r="C326" s="3" t="s">
        <v>12</v>
      </c>
      <c r="D326" s="4">
        <v>90452</v>
      </c>
      <c r="E326" s="4">
        <v>27625</v>
      </c>
    </row>
    <row r="327" spans="1:5" x14ac:dyDescent="0.3">
      <c r="A327" s="3" t="s">
        <v>21</v>
      </c>
      <c r="B327" s="3" t="s">
        <v>38</v>
      </c>
      <c r="C327" s="3" t="s">
        <v>13</v>
      </c>
      <c r="D327" s="4">
        <v>87153</v>
      </c>
      <c r="E327" s="4">
        <v>44109</v>
      </c>
    </row>
    <row r="328" spans="1:5" x14ac:dyDescent="0.3">
      <c r="A328" s="3" t="s">
        <v>21</v>
      </c>
      <c r="B328" s="3" t="s">
        <v>36</v>
      </c>
      <c r="C328" s="3" t="s">
        <v>2</v>
      </c>
      <c r="D328" s="4">
        <v>28803</v>
      </c>
      <c r="E328" s="4">
        <v>9859</v>
      </c>
    </row>
    <row r="329" spans="1:5" x14ac:dyDescent="0.3">
      <c r="A329" s="3" t="s">
        <v>21</v>
      </c>
      <c r="B329" s="3" t="s">
        <v>36</v>
      </c>
      <c r="C329" s="3" t="s">
        <v>3</v>
      </c>
      <c r="D329" s="4">
        <v>27946</v>
      </c>
      <c r="E329" s="4">
        <v>9380</v>
      </c>
    </row>
    <row r="330" spans="1:5" x14ac:dyDescent="0.3">
      <c r="A330" s="3" t="s">
        <v>21</v>
      </c>
      <c r="B330" s="3" t="s">
        <v>36</v>
      </c>
      <c r="C330" s="3" t="s">
        <v>4</v>
      </c>
      <c r="D330" s="4">
        <v>29094</v>
      </c>
      <c r="E330" s="4">
        <v>10440</v>
      </c>
    </row>
    <row r="331" spans="1:5" x14ac:dyDescent="0.3">
      <c r="A331" s="3" t="s">
        <v>21</v>
      </c>
      <c r="B331" s="3" t="s">
        <v>36</v>
      </c>
      <c r="C331" s="3" t="s">
        <v>5</v>
      </c>
      <c r="D331" s="4">
        <v>39949</v>
      </c>
      <c r="E331" s="4">
        <v>10177</v>
      </c>
    </row>
    <row r="332" spans="1:5" x14ac:dyDescent="0.3">
      <c r="A332" s="3" t="s">
        <v>21</v>
      </c>
      <c r="B332" s="3" t="s">
        <v>36</v>
      </c>
      <c r="C332" s="3" t="s">
        <v>6</v>
      </c>
      <c r="D332" s="4">
        <v>34738</v>
      </c>
      <c r="E332" s="4">
        <v>10528</v>
      </c>
    </row>
    <row r="333" spans="1:5" x14ac:dyDescent="0.3">
      <c r="A333" s="3" t="s">
        <v>21</v>
      </c>
      <c r="B333" s="3" t="s">
        <v>36</v>
      </c>
      <c r="C333" s="3" t="s">
        <v>7</v>
      </c>
      <c r="D333" s="4">
        <v>32640</v>
      </c>
      <c r="E333" s="4">
        <v>11782</v>
      </c>
    </row>
    <row r="334" spans="1:5" x14ac:dyDescent="0.3">
      <c r="A334" s="3" t="s">
        <v>21</v>
      </c>
      <c r="B334" s="3" t="s">
        <v>36</v>
      </c>
      <c r="C334" s="3" t="s">
        <v>8</v>
      </c>
      <c r="D334" s="4">
        <v>31760</v>
      </c>
      <c r="E334" s="4">
        <v>11950</v>
      </c>
    </row>
    <row r="335" spans="1:5" x14ac:dyDescent="0.3">
      <c r="A335" s="3" t="s">
        <v>21</v>
      </c>
      <c r="B335" s="3" t="s">
        <v>36</v>
      </c>
      <c r="C335" s="3" t="s">
        <v>9</v>
      </c>
      <c r="D335" s="4">
        <v>31496</v>
      </c>
      <c r="E335" s="4">
        <v>13804</v>
      </c>
    </row>
    <row r="336" spans="1:5" x14ac:dyDescent="0.3">
      <c r="A336" s="3" t="s">
        <v>21</v>
      </c>
      <c r="B336" s="3" t="s">
        <v>36</v>
      </c>
      <c r="C336" s="3" t="s">
        <v>10</v>
      </c>
      <c r="D336" s="4">
        <v>45429</v>
      </c>
      <c r="E336" s="4">
        <v>11154</v>
      </c>
    </row>
    <row r="337" spans="1:5" x14ac:dyDescent="0.3">
      <c r="A337" s="3" t="s">
        <v>21</v>
      </c>
      <c r="B337" s="3" t="s">
        <v>36</v>
      </c>
      <c r="C337" s="3" t="s">
        <v>11</v>
      </c>
      <c r="D337" s="4">
        <v>54898</v>
      </c>
      <c r="E337" s="4">
        <v>12376</v>
      </c>
    </row>
    <row r="338" spans="1:5" x14ac:dyDescent="0.3">
      <c r="A338" s="3" t="s">
        <v>21</v>
      </c>
      <c r="B338" s="3" t="s">
        <v>36</v>
      </c>
      <c r="C338" s="3" t="s">
        <v>12</v>
      </c>
      <c r="D338" s="4">
        <v>52626</v>
      </c>
      <c r="E338" s="4">
        <v>17318</v>
      </c>
    </row>
    <row r="339" spans="1:5" x14ac:dyDescent="0.3">
      <c r="A339" s="3" t="s">
        <v>21</v>
      </c>
      <c r="B339" s="3" t="s">
        <v>36</v>
      </c>
      <c r="C339" s="3" t="s">
        <v>13</v>
      </c>
      <c r="D339" s="4">
        <v>52087</v>
      </c>
      <c r="E339" s="4">
        <v>28076</v>
      </c>
    </row>
    <row r="340" spans="1:5" x14ac:dyDescent="0.3">
      <c r="A340" s="3" t="s">
        <v>21</v>
      </c>
      <c r="B340" s="3" t="s">
        <v>35</v>
      </c>
      <c r="C340" s="3" t="s">
        <v>2</v>
      </c>
      <c r="D340" s="4">
        <v>66265</v>
      </c>
      <c r="E340" s="4">
        <v>16132</v>
      </c>
    </row>
    <row r="341" spans="1:5" x14ac:dyDescent="0.3">
      <c r="A341" s="3" t="s">
        <v>21</v>
      </c>
      <c r="B341" s="3" t="s">
        <v>35</v>
      </c>
      <c r="C341" s="3" t="s">
        <v>3</v>
      </c>
      <c r="D341" s="4">
        <v>81778</v>
      </c>
      <c r="E341" s="4">
        <v>20876</v>
      </c>
    </row>
    <row r="342" spans="1:5" x14ac:dyDescent="0.3">
      <c r="A342" s="3" t="s">
        <v>21</v>
      </c>
      <c r="B342" s="3" t="s">
        <v>35</v>
      </c>
      <c r="C342" s="3" t="s">
        <v>4</v>
      </c>
      <c r="D342" s="4">
        <v>118763</v>
      </c>
      <c r="E342" s="4">
        <v>28521</v>
      </c>
    </row>
    <row r="343" spans="1:5" x14ac:dyDescent="0.3">
      <c r="A343" s="3" t="s">
        <v>21</v>
      </c>
      <c r="B343" s="3" t="s">
        <v>35</v>
      </c>
      <c r="C343" s="3" t="s">
        <v>5</v>
      </c>
      <c r="D343" s="4">
        <v>118294</v>
      </c>
      <c r="E343" s="4">
        <v>24509</v>
      </c>
    </row>
    <row r="344" spans="1:5" x14ac:dyDescent="0.3">
      <c r="A344" s="3" t="s">
        <v>21</v>
      </c>
      <c r="B344" s="3" t="s">
        <v>35</v>
      </c>
      <c r="C344" s="3" t="s">
        <v>6</v>
      </c>
      <c r="D344" s="4">
        <v>106734</v>
      </c>
      <c r="E344" s="4">
        <v>26346</v>
      </c>
    </row>
    <row r="345" spans="1:5" x14ac:dyDescent="0.3">
      <c r="A345" s="3" t="s">
        <v>21</v>
      </c>
      <c r="B345" s="3" t="s">
        <v>35</v>
      </c>
      <c r="C345" s="3" t="s">
        <v>7</v>
      </c>
      <c r="D345" s="4">
        <v>93040</v>
      </c>
      <c r="E345" s="4">
        <v>22351</v>
      </c>
    </row>
    <row r="346" spans="1:5" x14ac:dyDescent="0.3">
      <c r="A346" s="3" t="s">
        <v>21</v>
      </c>
      <c r="B346" s="3" t="s">
        <v>35</v>
      </c>
      <c r="C346" s="3" t="s">
        <v>8</v>
      </c>
      <c r="D346" s="4">
        <v>82294</v>
      </c>
      <c r="E346" s="4">
        <v>22260</v>
      </c>
    </row>
    <row r="347" spans="1:5" x14ac:dyDescent="0.3">
      <c r="A347" s="3" t="s">
        <v>21</v>
      </c>
      <c r="B347" s="3" t="s">
        <v>35</v>
      </c>
      <c r="C347" s="3" t="s">
        <v>9</v>
      </c>
      <c r="D347" s="4">
        <v>80907</v>
      </c>
      <c r="E347" s="4">
        <v>23301</v>
      </c>
    </row>
    <row r="348" spans="1:5" x14ac:dyDescent="0.3">
      <c r="A348" s="3" t="s">
        <v>21</v>
      </c>
      <c r="B348" s="3" t="s">
        <v>35</v>
      </c>
      <c r="C348" s="3" t="s">
        <v>10</v>
      </c>
      <c r="D348" s="4">
        <v>94148</v>
      </c>
      <c r="E348" s="4">
        <v>19706</v>
      </c>
    </row>
    <row r="349" spans="1:5" x14ac:dyDescent="0.3">
      <c r="A349" s="3" t="s">
        <v>21</v>
      </c>
      <c r="B349" s="3" t="s">
        <v>35</v>
      </c>
      <c r="C349" s="3" t="s">
        <v>11</v>
      </c>
      <c r="D349" s="4">
        <v>104235</v>
      </c>
      <c r="E349" s="4">
        <v>26888</v>
      </c>
    </row>
    <row r="350" spans="1:5" x14ac:dyDescent="0.3">
      <c r="A350" s="3" t="s">
        <v>21</v>
      </c>
      <c r="B350" s="3" t="s">
        <v>35</v>
      </c>
      <c r="C350" s="3" t="s">
        <v>12</v>
      </c>
      <c r="D350" s="4">
        <v>93569</v>
      </c>
      <c r="E350" s="4">
        <v>34618</v>
      </c>
    </row>
    <row r="351" spans="1:5" x14ac:dyDescent="0.3">
      <c r="A351" s="3" t="s">
        <v>21</v>
      </c>
      <c r="B351" s="3" t="s">
        <v>35</v>
      </c>
      <c r="C351" s="3" t="s">
        <v>13</v>
      </c>
      <c r="D351" s="4">
        <v>89444</v>
      </c>
      <c r="E351" s="4">
        <v>62778</v>
      </c>
    </row>
    <row r="352" spans="1:5" x14ac:dyDescent="0.3">
      <c r="A352" s="3" t="s">
        <v>21</v>
      </c>
      <c r="B352" s="3" t="s">
        <v>34</v>
      </c>
      <c r="C352" s="3" t="s">
        <v>2</v>
      </c>
      <c r="D352" s="4">
        <v>3840</v>
      </c>
      <c r="E352" s="4">
        <v>455</v>
      </c>
    </row>
    <row r="353" spans="1:5" x14ac:dyDescent="0.3">
      <c r="A353" s="3" t="s">
        <v>21</v>
      </c>
      <c r="B353" s="3" t="s">
        <v>34</v>
      </c>
      <c r="C353" s="3" t="s">
        <v>3</v>
      </c>
      <c r="D353" s="4">
        <v>3318</v>
      </c>
      <c r="E353" s="4">
        <v>304</v>
      </c>
    </row>
    <row r="354" spans="1:5" x14ac:dyDescent="0.3">
      <c r="A354" s="3" t="s">
        <v>21</v>
      </c>
      <c r="B354" s="3" t="s">
        <v>34</v>
      </c>
      <c r="C354" s="3" t="s">
        <v>4</v>
      </c>
      <c r="D354" s="4">
        <v>3058</v>
      </c>
      <c r="E354" s="4">
        <v>271</v>
      </c>
    </row>
    <row r="355" spans="1:5" x14ac:dyDescent="0.3">
      <c r="A355" s="3" t="s">
        <v>21</v>
      </c>
      <c r="B355" s="3" t="s">
        <v>34</v>
      </c>
      <c r="C355" s="3" t="s">
        <v>5</v>
      </c>
      <c r="D355" s="4">
        <v>2884</v>
      </c>
      <c r="E355" s="4">
        <v>205</v>
      </c>
    </row>
    <row r="356" spans="1:5" x14ac:dyDescent="0.3">
      <c r="A356" s="3" t="s">
        <v>21</v>
      </c>
      <c r="B356" s="3" t="s">
        <v>34</v>
      </c>
      <c r="C356" s="3" t="s">
        <v>6</v>
      </c>
      <c r="D356" s="4">
        <v>2254</v>
      </c>
      <c r="E356" s="4">
        <v>255</v>
      </c>
    </row>
    <row r="357" spans="1:5" x14ac:dyDescent="0.3">
      <c r="A357" s="3" t="s">
        <v>21</v>
      </c>
      <c r="B357" s="3" t="s">
        <v>34</v>
      </c>
      <c r="C357" s="3" t="s">
        <v>7</v>
      </c>
      <c r="D357" s="4">
        <v>10010</v>
      </c>
      <c r="E357" s="4">
        <v>879</v>
      </c>
    </row>
    <row r="358" spans="1:5" x14ac:dyDescent="0.3">
      <c r="A358" s="3" t="s">
        <v>21</v>
      </c>
      <c r="B358" s="3" t="s">
        <v>34</v>
      </c>
      <c r="C358" s="3" t="s">
        <v>8</v>
      </c>
      <c r="D358" s="4">
        <v>17380</v>
      </c>
      <c r="E358" s="4">
        <v>3815</v>
      </c>
    </row>
    <row r="359" spans="1:5" x14ac:dyDescent="0.3">
      <c r="A359" s="3" t="s">
        <v>21</v>
      </c>
      <c r="B359" s="3" t="s">
        <v>34</v>
      </c>
      <c r="C359" s="3" t="s">
        <v>9</v>
      </c>
      <c r="D359" s="4">
        <v>14253</v>
      </c>
      <c r="E359" s="4">
        <v>5799</v>
      </c>
    </row>
    <row r="360" spans="1:5" x14ac:dyDescent="0.3">
      <c r="A360" s="3" t="s">
        <v>21</v>
      </c>
      <c r="B360" s="3" t="s">
        <v>34</v>
      </c>
      <c r="C360" s="3" t="s">
        <v>10</v>
      </c>
      <c r="D360" s="4">
        <v>8559</v>
      </c>
      <c r="E360" s="4">
        <v>567</v>
      </c>
    </row>
    <row r="361" spans="1:5" x14ac:dyDescent="0.3">
      <c r="A361" s="3" t="s">
        <v>21</v>
      </c>
      <c r="B361" s="3" t="s">
        <v>34</v>
      </c>
      <c r="C361" s="3" t="s">
        <v>11</v>
      </c>
      <c r="D361" s="4">
        <v>7051</v>
      </c>
      <c r="E361" s="4">
        <v>904</v>
      </c>
    </row>
    <row r="362" spans="1:5" x14ac:dyDescent="0.3">
      <c r="A362" s="3" t="s">
        <v>21</v>
      </c>
      <c r="B362" s="3" t="s">
        <v>34</v>
      </c>
      <c r="C362" s="3" t="s">
        <v>12</v>
      </c>
      <c r="D362" s="4">
        <v>8168</v>
      </c>
      <c r="E362" s="4">
        <v>1786</v>
      </c>
    </row>
    <row r="363" spans="1:5" x14ac:dyDescent="0.3">
      <c r="A363" s="3" t="s">
        <v>21</v>
      </c>
      <c r="B363" s="3" t="s">
        <v>34</v>
      </c>
      <c r="C363" s="3" t="s">
        <v>13</v>
      </c>
      <c r="D363" s="4">
        <v>6386</v>
      </c>
      <c r="E363" s="4">
        <v>672</v>
      </c>
    </row>
    <row r="364" spans="1:5" x14ac:dyDescent="0.3">
      <c r="A364" s="3" t="s">
        <v>22</v>
      </c>
      <c r="B364" s="3" t="s">
        <v>37</v>
      </c>
      <c r="C364" s="3" t="s">
        <v>2</v>
      </c>
      <c r="D364" s="4">
        <v>80189</v>
      </c>
      <c r="E364" s="4">
        <v>38844</v>
      </c>
    </row>
    <row r="365" spans="1:5" x14ac:dyDescent="0.3">
      <c r="A365" s="3" t="s">
        <v>22</v>
      </c>
      <c r="B365" s="3" t="s">
        <v>37</v>
      </c>
      <c r="C365" s="3" t="s">
        <v>3</v>
      </c>
      <c r="D365" s="4">
        <v>108502</v>
      </c>
      <c r="E365" s="4">
        <v>47030</v>
      </c>
    </row>
    <row r="366" spans="1:5" x14ac:dyDescent="0.3">
      <c r="A366" s="3" t="s">
        <v>22</v>
      </c>
      <c r="B366" s="3" t="s">
        <v>37</v>
      </c>
      <c r="C366" s="3" t="s">
        <v>4</v>
      </c>
      <c r="D366" s="4">
        <v>124418</v>
      </c>
      <c r="E366" s="4">
        <v>55135</v>
      </c>
    </row>
    <row r="367" spans="1:5" x14ac:dyDescent="0.3">
      <c r="A367" s="3" t="s">
        <v>22</v>
      </c>
      <c r="B367" s="3" t="s">
        <v>37</v>
      </c>
      <c r="C367" s="3" t="s">
        <v>5</v>
      </c>
      <c r="D367" s="4">
        <v>109467</v>
      </c>
      <c r="E367" s="4">
        <v>44650</v>
      </c>
    </row>
    <row r="368" spans="1:5" x14ac:dyDescent="0.3">
      <c r="A368" s="3" t="s">
        <v>22</v>
      </c>
      <c r="B368" s="3" t="s">
        <v>37</v>
      </c>
      <c r="C368" s="3" t="s">
        <v>6</v>
      </c>
      <c r="D368" s="4">
        <v>104414</v>
      </c>
      <c r="E368" s="4">
        <v>47868</v>
      </c>
    </row>
    <row r="369" spans="1:5" x14ac:dyDescent="0.3">
      <c r="A369" s="3" t="s">
        <v>22</v>
      </c>
      <c r="B369" s="3" t="s">
        <v>37</v>
      </c>
      <c r="C369" s="3" t="s">
        <v>7</v>
      </c>
      <c r="D369" s="4">
        <v>129997</v>
      </c>
      <c r="E369" s="4">
        <v>52368</v>
      </c>
    </row>
    <row r="370" spans="1:5" x14ac:dyDescent="0.3">
      <c r="A370" s="3" t="s">
        <v>22</v>
      </c>
      <c r="B370" s="3" t="s">
        <v>37</v>
      </c>
      <c r="C370" s="3" t="s">
        <v>8</v>
      </c>
      <c r="D370" s="4">
        <v>113451</v>
      </c>
      <c r="E370" s="4">
        <v>47224</v>
      </c>
    </row>
    <row r="371" spans="1:5" x14ac:dyDescent="0.3">
      <c r="A371" s="3" t="s">
        <v>22</v>
      </c>
      <c r="B371" s="3" t="s">
        <v>37</v>
      </c>
      <c r="C371" s="3" t="s">
        <v>9</v>
      </c>
      <c r="D371" s="4">
        <v>126513</v>
      </c>
      <c r="E371" s="4">
        <v>58644</v>
      </c>
    </row>
    <row r="372" spans="1:5" x14ac:dyDescent="0.3">
      <c r="A372" s="3" t="s">
        <v>22</v>
      </c>
      <c r="B372" s="3" t="s">
        <v>37</v>
      </c>
      <c r="C372" s="3" t="s">
        <v>10</v>
      </c>
      <c r="D372" s="4">
        <v>129642</v>
      </c>
      <c r="E372" s="4">
        <v>48372</v>
      </c>
    </row>
    <row r="373" spans="1:5" x14ac:dyDescent="0.3">
      <c r="A373" s="3" t="s">
        <v>22</v>
      </c>
      <c r="B373" s="3" t="s">
        <v>37</v>
      </c>
      <c r="C373" s="3" t="s">
        <v>11</v>
      </c>
      <c r="D373" s="4">
        <v>108108</v>
      </c>
      <c r="E373" s="4">
        <v>46153</v>
      </c>
    </row>
    <row r="374" spans="1:5" x14ac:dyDescent="0.3">
      <c r="A374" s="3" t="s">
        <v>22</v>
      </c>
      <c r="B374" s="3" t="s">
        <v>37</v>
      </c>
      <c r="C374" s="3" t="s">
        <v>12</v>
      </c>
      <c r="D374" s="4">
        <v>96914</v>
      </c>
      <c r="E374" s="4">
        <v>54327</v>
      </c>
    </row>
    <row r="375" spans="1:5" x14ac:dyDescent="0.3">
      <c r="A375" s="3" t="s">
        <v>22</v>
      </c>
      <c r="B375" s="3" t="s">
        <v>37</v>
      </c>
      <c r="C375" s="3" t="s">
        <v>13</v>
      </c>
      <c r="D375" s="4">
        <v>106126</v>
      </c>
      <c r="E375" s="4">
        <v>79954</v>
      </c>
    </row>
    <row r="376" spans="1:5" x14ac:dyDescent="0.3">
      <c r="A376" s="3" t="s">
        <v>22</v>
      </c>
      <c r="B376" s="3" t="s">
        <v>38</v>
      </c>
      <c r="C376" s="3" t="s">
        <v>2</v>
      </c>
      <c r="D376" s="4">
        <v>78399</v>
      </c>
      <c r="E376" s="4">
        <v>32493</v>
      </c>
    </row>
    <row r="377" spans="1:5" x14ac:dyDescent="0.3">
      <c r="A377" s="3" t="s">
        <v>22</v>
      </c>
      <c r="B377" s="3" t="s">
        <v>38</v>
      </c>
      <c r="C377" s="3" t="s">
        <v>3</v>
      </c>
      <c r="D377" s="4">
        <v>104093</v>
      </c>
      <c r="E377" s="4">
        <v>38202</v>
      </c>
    </row>
    <row r="378" spans="1:5" x14ac:dyDescent="0.3">
      <c r="A378" s="3" t="s">
        <v>22</v>
      </c>
      <c r="B378" s="3" t="s">
        <v>38</v>
      </c>
      <c r="C378" s="3" t="s">
        <v>4</v>
      </c>
      <c r="D378" s="4">
        <v>125384</v>
      </c>
      <c r="E378" s="4">
        <v>52493</v>
      </c>
    </row>
    <row r="379" spans="1:5" x14ac:dyDescent="0.3">
      <c r="A379" s="3" t="s">
        <v>22</v>
      </c>
      <c r="B379" s="3" t="s">
        <v>38</v>
      </c>
      <c r="C379" s="3" t="s">
        <v>5</v>
      </c>
      <c r="D379" s="4">
        <v>110628</v>
      </c>
      <c r="E379" s="4">
        <v>39938</v>
      </c>
    </row>
    <row r="380" spans="1:5" x14ac:dyDescent="0.3">
      <c r="A380" s="3" t="s">
        <v>22</v>
      </c>
      <c r="B380" s="3" t="s">
        <v>38</v>
      </c>
      <c r="C380" s="3" t="s">
        <v>6</v>
      </c>
      <c r="D380" s="4">
        <v>102813</v>
      </c>
      <c r="E380" s="4">
        <v>41619</v>
      </c>
    </row>
    <row r="381" spans="1:5" x14ac:dyDescent="0.3">
      <c r="A381" s="3" t="s">
        <v>22</v>
      </c>
      <c r="B381" s="3" t="s">
        <v>38</v>
      </c>
      <c r="C381" s="3" t="s">
        <v>7</v>
      </c>
      <c r="D381" s="4">
        <v>110025</v>
      </c>
      <c r="E381" s="4">
        <v>37928</v>
      </c>
    </row>
    <row r="382" spans="1:5" x14ac:dyDescent="0.3">
      <c r="A382" s="3" t="s">
        <v>22</v>
      </c>
      <c r="B382" s="3" t="s">
        <v>38</v>
      </c>
      <c r="C382" s="3" t="s">
        <v>8</v>
      </c>
      <c r="D382" s="4">
        <v>135792</v>
      </c>
      <c r="E382" s="4">
        <v>50088</v>
      </c>
    </row>
    <row r="383" spans="1:5" x14ac:dyDescent="0.3">
      <c r="A383" s="3" t="s">
        <v>22</v>
      </c>
      <c r="B383" s="3" t="s">
        <v>38</v>
      </c>
      <c r="C383" s="3" t="s">
        <v>9</v>
      </c>
      <c r="D383" s="4">
        <v>164158</v>
      </c>
      <c r="E383" s="4">
        <v>62740</v>
      </c>
    </row>
    <row r="384" spans="1:5" x14ac:dyDescent="0.3">
      <c r="A384" s="3" t="s">
        <v>22</v>
      </c>
      <c r="B384" s="3" t="s">
        <v>38</v>
      </c>
      <c r="C384" s="3" t="s">
        <v>10</v>
      </c>
      <c r="D384" s="4">
        <v>145416</v>
      </c>
      <c r="E384" s="4">
        <v>40322</v>
      </c>
    </row>
    <row r="385" spans="1:5" x14ac:dyDescent="0.3">
      <c r="A385" s="3" t="s">
        <v>22</v>
      </c>
      <c r="B385" s="3" t="s">
        <v>38</v>
      </c>
      <c r="C385" s="3" t="s">
        <v>11</v>
      </c>
      <c r="D385" s="4">
        <v>129551</v>
      </c>
      <c r="E385" s="4">
        <v>40149</v>
      </c>
    </row>
    <row r="386" spans="1:5" x14ac:dyDescent="0.3">
      <c r="A386" s="3" t="s">
        <v>22</v>
      </c>
      <c r="B386" s="3" t="s">
        <v>38</v>
      </c>
      <c r="C386" s="3" t="s">
        <v>12</v>
      </c>
      <c r="D386" s="4">
        <v>125199</v>
      </c>
      <c r="E386" s="4">
        <v>44923</v>
      </c>
    </row>
    <row r="387" spans="1:5" x14ac:dyDescent="0.3">
      <c r="A387" s="3" t="s">
        <v>22</v>
      </c>
      <c r="B387" s="3" t="s">
        <v>38</v>
      </c>
      <c r="C387" s="3" t="s">
        <v>13</v>
      </c>
      <c r="D387" s="4">
        <v>124401</v>
      </c>
      <c r="E387" s="4">
        <v>75330</v>
      </c>
    </row>
    <row r="388" spans="1:5" x14ac:dyDescent="0.3">
      <c r="A388" s="3" t="s">
        <v>22</v>
      </c>
      <c r="B388" s="3" t="s">
        <v>36</v>
      </c>
      <c r="C388" s="3" t="s">
        <v>2</v>
      </c>
      <c r="D388" s="4">
        <v>36702</v>
      </c>
      <c r="E388" s="4">
        <v>19156</v>
      </c>
    </row>
    <row r="389" spans="1:5" x14ac:dyDescent="0.3">
      <c r="A389" s="3" t="s">
        <v>22</v>
      </c>
      <c r="B389" s="3" t="s">
        <v>36</v>
      </c>
      <c r="C389" s="3" t="s">
        <v>3</v>
      </c>
      <c r="D389" s="4">
        <v>35736</v>
      </c>
      <c r="E389" s="4">
        <v>15341</v>
      </c>
    </row>
    <row r="390" spans="1:5" x14ac:dyDescent="0.3">
      <c r="A390" s="3" t="s">
        <v>22</v>
      </c>
      <c r="B390" s="3" t="s">
        <v>36</v>
      </c>
      <c r="C390" s="3" t="s">
        <v>4</v>
      </c>
      <c r="D390" s="4">
        <v>38143</v>
      </c>
      <c r="E390" s="4">
        <v>17096</v>
      </c>
    </row>
    <row r="391" spans="1:5" x14ac:dyDescent="0.3">
      <c r="A391" s="3" t="s">
        <v>22</v>
      </c>
      <c r="B391" s="3" t="s">
        <v>36</v>
      </c>
      <c r="C391" s="3" t="s">
        <v>5</v>
      </c>
      <c r="D391" s="4">
        <v>51901</v>
      </c>
      <c r="E391" s="4">
        <v>14761</v>
      </c>
    </row>
    <row r="392" spans="1:5" x14ac:dyDescent="0.3">
      <c r="A392" s="3" t="s">
        <v>22</v>
      </c>
      <c r="B392" s="3" t="s">
        <v>36</v>
      </c>
      <c r="C392" s="3" t="s">
        <v>6</v>
      </c>
      <c r="D392" s="4">
        <v>51287</v>
      </c>
      <c r="E392" s="4">
        <v>17387</v>
      </c>
    </row>
    <row r="393" spans="1:5" x14ac:dyDescent="0.3">
      <c r="A393" s="3" t="s">
        <v>22</v>
      </c>
      <c r="B393" s="3" t="s">
        <v>36</v>
      </c>
      <c r="C393" s="3" t="s">
        <v>7</v>
      </c>
      <c r="D393" s="4">
        <v>45371</v>
      </c>
      <c r="E393" s="4">
        <v>16611</v>
      </c>
    </row>
    <row r="394" spans="1:5" x14ac:dyDescent="0.3">
      <c r="A394" s="3" t="s">
        <v>22</v>
      </c>
      <c r="B394" s="3" t="s">
        <v>36</v>
      </c>
      <c r="C394" s="3" t="s">
        <v>8</v>
      </c>
      <c r="D394" s="4">
        <v>48433</v>
      </c>
      <c r="E394" s="4">
        <v>18006</v>
      </c>
    </row>
    <row r="395" spans="1:5" x14ac:dyDescent="0.3">
      <c r="A395" s="3" t="s">
        <v>22</v>
      </c>
      <c r="B395" s="3" t="s">
        <v>36</v>
      </c>
      <c r="C395" s="3" t="s">
        <v>9</v>
      </c>
      <c r="D395" s="4">
        <v>45639</v>
      </c>
      <c r="E395" s="4">
        <v>20992</v>
      </c>
    </row>
    <row r="396" spans="1:5" x14ac:dyDescent="0.3">
      <c r="A396" s="3" t="s">
        <v>22</v>
      </c>
      <c r="B396" s="3" t="s">
        <v>36</v>
      </c>
      <c r="C396" s="3" t="s">
        <v>10</v>
      </c>
      <c r="D396" s="4">
        <v>68866</v>
      </c>
      <c r="E396" s="4">
        <v>18007</v>
      </c>
    </row>
    <row r="397" spans="1:5" x14ac:dyDescent="0.3">
      <c r="A397" s="3" t="s">
        <v>22</v>
      </c>
      <c r="B397" s="3" t="s">
        <v>36</v>
      </c>
      <c r="C397" s="3" t="s">
        <v>11</v>
      </c>
      <c r="D397" s="4">
        <v>76367</v>
      </c>
      <c r="E397" s="4">
        <v>19537</v>
      </c>
    </row>
    <row r="398" spans="1:5" x14ac:dyDescent="0.3">
      <c r="A398" s="3" t="s">
        <v>22</v>
      </c>
      <c r="B398" s="3" t="s">
        <v>36</v>
      </c>
      <c r="C398" s="3" t="s">
        <v>12</v>
      </c>
      <c r="D398" s="4">
        <v>72510</v>
      </c>
      <c r="E398" s="4">
        <v>24201</v>
      </c>
    </row>
    <row r="399" spans="1:5" x14ac:dyDescent="0.3">
      <c r="A399" s="3" t="s">
        <v>22</v>
      </c>
      <c r="B399" s="3" t="s">
        <v>36</v>
      </c>
      <c r="C399" s="3" t="s">
        <v>13</v>
      </c>
      <c r="D399" s="4">
        <v>74939</v>
      </c>
      <c r="E399" s="4">
        <v>42866</v>
      </c>
    </row>
    <row r="400" spans="1:5" x14ac:dyDescent="0.3">
      <c r="A400" s="3" t="s">
        <v>22</v>
      </c>
      <c r="B400" s="3" t="s">
        <v>35</v>
      </c>
      <c r="C400" s="3" t="s">
        <v>2</v>
      </c>
      <c r="D400" s="4">
        <v>78752</v>
      </c>
      <c r="E400" s="4">
        <v>41993</v>
      </c>
    </row>
    <row r="401" spans="1:5" x14ac:dyDescent="0.3">
      <c r="A401" s="3" t="s">
        <v>22</v>
      </c>
      <c r="B401" s="3" t="s">
        <v>35</v>
      </c>
      <c r="C401" s="3" t="s">
        <v>3</v>
      </c>
      <c r="D401" s="4">
        <v>109352</v>
      </c>
      <c r="E401" s="4">
        <v>51441</v>
      </c>
    </row>
    <row r="402" spans="1:5" x14ac:dyDescent="0.3">
      <c r="A402" s="3" t="s">
        <v>22</v>
      </c>
      <c r="B402" s="3" t="s">
        <v>35</v>
      </c>
      <c r="C402" s="3" t="s">
        <v>4</v>
      </c>
      <c r="D402" s="4">
        <v>171363</v>
      </c>
      <c r="E402" s="4">
        <v>72358</v>
      </c>
    </row>
    <row r="403" spans="1:5" x14ac:dyDescent="0.3">
      <c r="A403" s="3" t="s">
        <v>22</v>
      </c>
      <c r="B403" s="3" t="s">
        <v>35</v>
      </c>
      <c r="C403" s="3" t="s">
        <v>5</v>
      </c>
      <c r="D403" s="4">
        <v>178158</v>
      </c>
      <c r="E403" s="4">
        <v>54882</v>
      </c>
    </row>
    <row r="404" spans="1:5" x14ac:dyDescent="0.3">
      <c r="A404" s="3" t="s">
        <v>22</v>
      </c>
      <c r="B404" s="3" t="s">
        <v>35</v>
      </c>
      <c r="C404" s="3" t="s">
        <v>6</v>
      </c>
      <c r="D404" s="4">
        <v>165478</v>
      </c>
      <c r="E404" s="4">
        <v>56904</v>
      </c>
    </row>
    <row r="405" spans="1:5" x14ac:dyDescent="0.3">
      <c r="A405" s="3" t="s">
        <v>22</v>
      </c>
      <c r="B405" s="3" t="s">
        <v>35</v>
      </c>
      <c r="C405" s="3" t="s">
        <v>7</v>
      </c>
      <c r="D405" s="4">
        <v>134907</v>
      </c>
      <c r="E405" s="4">
        <v>53258</v>
      </c>
    </row>
    <row r="406" spans="1:5" x14ac:dyDescent="0.3">
      <c r="A406" s="3" t="s">
        <v>22</v>
      </c>
      <c r="B406" s="3" t="s">
        <v>35</v>
      </c>
      <c r="C406" s="3" t="s">
        <v>8</v>
      </c>
      <c r="D406" s="4">
        <v>124969</v>
      </c>
      <c r="E406" s="4">
        <v>59236</v>
      </c>
    </row>
    <row r="407" spans="1:5" x14ac:dyDescent="0.3">
      <c r="A407" s="3" t="s">
        <v>22</v>
      </c>
      <c r="B407" s="3" t="s">
        <v>35</v>
      </c>
      <c r="C407" s="3" t="s">
        <v>9</v>
      </c>
      <c r="D407" s="4">
        <v>124764</v>
      </c>
      <c r="E407" s="4">
        <v>62578</v>
      </c>
    </row>
    <row r="408" spans="1:5" x14ac:dyDescent="0.3">
      <c r="A408" s="3" t="s">
        <v>22</v>
      </c>
      <c r="B408" s="3" t="s">
        <v>35</v>
      </c>
      <c r="C408" s="3" t="s">
        <v>10</v>
      </c>
      <c r="D408" s="4">
        <v>174282</v>
      </c>
      <c r="E408" s="4">
        <v>68520</v>
      </c>
    </row>
    <row r="409" spans="1:5" x14ac:dyDescent="0.3">
      <c r="A409" s="3" t="s">
        <v>22</v>
      </c>
      <c r="B409" s="3" t="s">
        <v>35</v>
      </c>
      <c r="C409" s="3" t="s">
        <v>11</v>
      </c>
      <c r="D409" s="4">
        <v>192720</v>
      </c>
      <c r="E409" s="4">
        <v>88976</v>
      </c>
    </row>
    <row r="410" spans="1:5" x14ac:dyDescent="0.3">
      <c r="A410" s="3" t="s">
        <v>22</v>
      </c>
      <c r="B410" s="3" t="s">
        <v>35</v>
      </c>
      <c r="C410" s="3" t="s">
        <v>12</v>
      </c>
      <c r="D410" s="4">
        <v>172797</v>
      </c>
      <c r="E410" s="4">
        <v>88733</v>
      </c>
    </row>
    <row r="411" spans="1:5" x14ac:dyDescent="0.3">
      <c r="A411" s="3" t="s">
        <v>22</v>
      </c>
      <c r="B411" s="3" t="s">
        <v>35</v>
      </c>
      <c r="C411" s="3" t="s">
        <v>13</v>
      </c>
      <c r="D411" s="4">
        <v>176981</v>
      </c>
      <c r="E411" s="4">
        <v>164265</v>
      </c>
    </row>
    <row r="412" spans="1:5" x14ac:dyDescent="0.3">
      <c r="A412" s="3" t="s">
        <v>22</v>
      </c>
      <c r="B412" s="3" t="s">
        <v>34</v>
      </c>
      <c r="C412" s="3" t="s">
        <v>2</v>
      </c>
      <c r="D412" s="4">
        <v>1807</v>
      </c>
      <c r="E412" s="4">
        <v>459</v>
      </c>
    </row>
    <row r="413" spans="1:5" x14ac:dyDescent="0.3">
      <c r="A413" s="3" t="s">
        <v>22</v>
      </c>
      <c r="B413" s="3" t="s">
        <v>34</v>
      </c>
      <c r="C413" s="3" t="s">
        <v>3</v>
      </c>
      <c r="D413" s="4">
        <v>1248</v>
      </c>
      <c r="E413" s="4">
        <v>205</v>
      </c>
    </row>
    <row r="414" spans="1:5" x14ac:dyDescent="0.3">
      <c r="A414" s="3" t="s">
        <v>22</v>
      </c>
      <c r="B414" s="3" t="s">
        <v>34</v>
      </c>
      <c r="C414" s="3" t="s">
        <v>4</v>
      </c>
      <c r="D414" s="4">
        <v>1125</v>
      </c>
      <c r="E414" s="4">
        <v>166</v>
      </c>
    </row>
    <row r="415" spans="1:5" x14ac:dyDescent="0.3">
      <c r="A415" s="3" t="s">
        <v>22</v>
      </c>
      <c r="B415" s="3" t="s">
        <v>34</v>
      </c>
      <c r="C415" s="3" t="s">
        <v>5</v>
      </c>
      <c r="D415" s="4">
        <v>1054</v>
      </c>
      <c r="E415" s="4">
        <v>122</v>
      </c>
    </row>
    <row r="416" spans="1:5" x14ac:dyDescent="0.3">
      <c r="A416" s="3" t="s">
        <v>22</v>
      </c>
      <c r="B416" s="3" t="s">
        <v>34</v>
      </c>
      <c r="C416" s="3" t="s">
        <v>6</v>
      </c>
      <c r="D416" s="4">
        <v>958</v>
      </c>
      <c r="E416" s="4">
        <v>217</v>
      </c>
    </row>
    <row r="417" spans="1:5" x14ac:dyDescent="0.3">
      <c r="A417" s="3" t="s">
        <v>22</v>
      </c>
      <c r="B417" s="3" t="s">
        <v>34</v>
      </c>
      <c r="C417" s="3" t="s">
        <v>7</v>
      </c>
      <c r="D417" s="4">
        <v>10536</v>
      </c>
      <c r="E417" s="4">
        <v>1403</v>
      </c>
    </row>
    <row r="418" spans="1:5" x14ac:dyDescent="0.3">
      <c r="A418" s="3" t="s">
        <v>22</v>
      </c>
      <c r="B418" s="3" t="s">
        <v>34</v>
      </c>
      <c r="C418" s="3" t="s">
        <v>8</v>
      </c>
      <c r="D418" s="4">
        <v>18993</v>
      </c>
      <c r="E418" s="4">
        <v>3833</v>
      </c>
    </row>
    <row r="419" spans="1:5" x14ac:dyDescent="0.3">
      <c r="A419" s="3" t="s">
        <v>22</v>
      </c>
      <c r="B419" s="3" t="s">
        <v>34</v>
      </c>
      <c r="C419" s="3" t="s">
        <v>9</v>
      </c>
      <c r="D419" s="4">
        <v>15866</v>
      </c>
      <c r="E419" s="4">
        <v>7979</v>
      </c>
    </row>
    <row r="420" spans="1:5" x14ac:dyDescent="0.3">
      <c r="A420" s="3" t="s">
        <v>22</v>
      </c>
      <c r="B420" s="3" t="s">
        <v>34</v>
      </c>
      <c r="C420" s="3" t="s">
        <v>10</v>
      </c>
      <c r="D420" s="4">
        <v>8045</v>
      </c>
      <c r="E420" s="4">
        <v>1079</v>
      </c>
    </row>
    <row r="421" spans="1:5" x14ac:dyDescent="0.3">
      <c r="A421" s="3" t="s">
        <v>22</v>
      </c>
      <c r="B421" s="3" t="s">
        <v>34</v>
      </c>
      <c r="C421" s="3" t="s">
        <v>11</v>
      </c>
      <c r="D421" s="4">
        <v>5477</v>
      </c>
      <c r="E421" s="4">
        <v>1191</v>
      </c>
    </row>
    <row r="422" spans="1:5" x14ac:dyDescent="0.3">
      <c r="A422" s="3" t="s">
        <v>22</v>
      </c>
      <c r="B422" s="3" t="s">
        <v>34</v>
      </c>
      <c r="C422" s="3" t="s">
        <v>12</v>
      </c>
      <c r="D422" s="4">
        <v>5989</v>
      </c>
      <c r="E422" s="4">
        <v>1725</v>
      </c>
    </row>
    <row r="423" spans="1:5" x14ac:dyDescent="0.3">
      <c r="A423" s="3" t="s">
        <v>22</v>
      </c>
      <c r="B423" s="3" t="s">
        <v>34</v>
      </c>
      <c r="C423" s="3" t="s">
        <v>13</v>
      </c>
      <c r="D423" s="4">
        <v>4552</v>
      </c>
      <c r="E423" s="4">
        <v>743</v>
      </c>
    </row>
    <row r="424" spans="1:5" x14ac:dyDescent="0.3">
      <c r="A424" s="3" t="s">
        <v>23</v>
      </c>
      <c r="B424" s="3" t="s">
        <v>37</v>
      </c>
      <c r="C424" s="3" t="s">
        <v>2</v>
      </c>
      <c r="D424" s="4">
        <v>144344</v>
      </c>
      <c r="E424" s="4">
        <v>69046</v>
      </c>
    </row>
    <row r="425" spans="1:5" x14ac:dyDescent="0.3">
      <c r="A425" s="3" t="s">
        <v>23</v>
      </c>
      <c r="B425" s="3" t="s">
        <v>37</v>
      </c>
      <c r="C425" s="3" t="s">
        <v>3</v>
      </c>
      <c r="D425" s="4">
        <v>181384</v>
      </c>
      <c r="E425" s="4">
        <v>87445</v>
      </c>
    </row>
    <row r="426" spans="1:5" x14ac:dyDescent="0.3">
      <c r="A426" s="3" t="s">
        <v>23</v>
      </c>
      <c r="B426" s="3" t="s">
        <v>37</v>
      </c>
      <c r="C426" s="3" t="s">
        <v>4</v>
      </c>
      <c r="D426" s="4">
        <v>203478</v>
      </c>
      <c r="E426" s="4">
        <v>97818</v>
      </c>
    </row>
    <row r="427" spans="1:5" x14ac:dyDescent="0.3">
      <c r="A427" s="3" t="s">
        <v>23</v>
      </c>
      <c r="B427" s="3" t="s">
        <v>37</v>
      </c>
      <c r="C427" s="3" t="s">
        <v>5</v>
      </c>
      <c r="D427" s="4">
        <v>175409</v>
      </c>
      <c r="E427" s="4">
        <v>76913</v>
      </c>
    </row>
    <row r="428" spans="1:5" x14ac:dyDescent="0.3">
      <c r="A428" s="3" t="s">
        <v>23</v>
      </c>
      <c r="B428" s="3" t="s">
        <v>37</v>
      </c>
      <c r="C428" s="3" t="s">
        <v>6</v>
      </c>
      <c r="D428" s="4">
        <v>170921</v>
      </c>
      <c r="E428" s="4">
        <v>85220</v>
      </c>
    </row>
    <row r="429" spans="1:5" x14ac:dyDescent="0.3">
      <c r="A429" s="3" t="s">
        <v>23</v>
      </c>
      <c r="B429" s="3" t="s">
        <v>37</v>
      </c>
      <c r="C429" s="3" t="s">
        <v>7</v>
      </c>
      <c r="D429" s="4">
        <v>216918</v>
      </c>
      <c r="E429" s="4">
        <v>97091</v>
      </c>
    </row>
    <row r="430" spans="1:5" x14ac:dyDescent="0.3">
      <c r="A430" s="3" t="s">
        <v>23</v>
      </c>
      <c r="B430" s="3" t="s">
        <v>37</v>
      </c>
      <c r="C430" s="3" t="s">
        <v>8</v>
      </c>
      <c r="D430" s="4">
        <v>179328</v>
      </c>
      <c r="E430" s="4">
        <v>83096</v>
      </c>
    </row>
    <row r="431" spans="1:5" x14ac:dyDescent="0.3">
      <c r="A431" s="3" t="s">
        <v>23</v>
      </c>
      <c r="B431" s="3" t="s">
        <v>37</v>
      </c>
      <c r="C431" s="3" t="s">
        <v>9</v>
      </c>
      <c r="D431" s="4">
        <v>199407</v>
      </c>
      <c r="E431" s="4">
        <v>109689</v>
      </c>
    </row>
    <row r="432" spans="1:5" x14ac:dyDescent="0.3">
      <c r="A432" s="3" t="s">
        <v>23</v>
      </c>
      <c r="B432" s="3" t="s">
        <v>37</v>
      </c>
      <c r="C432" s="3" t="s">
        <v>10</v>
      </c>
      <c r="D432" s="4">
        <v>211096</v>
      </c>
      <c r="E432" s="4">
        <v>86196</v>
      </c>
    </row>
    <row r="433" spans="1:5" x14ac:dyDescent="0.3">
      <c r="A433" s="3" t="s">
        <v>23</v>
      </c>
      <c r="B433" s="3" t="s">
        <v>37</v>
      </c>
      <c r="C433" s="3" t="s">
        <v>11</v>
      </c>
      <c r="D433" s="4">
        <v>178267</v>
      </c>
      <c r="E433" s="4">
        <v>82769</v>
      </c>
    </row>
    <row r="434" spans="1:5" x14ac:dyDescent="0.3">
      <c r="A434" s="3" t="s">
        <v>23</v>
      </c>
      <c r="B434" s="3" t="s">
        <v>37</v>
      </c>
      <c r="C434" s="3" t="s">
        <v>12</v>
      </c>
      <c r="D434" s="4">
        <v>165275</v>
      </c>
      <c r="E434" s="4">
        <v>94619</v>
      </c>
    </row>
    <row r="435" spans="1:5" x14ac:dyDescent="0.3">
      <c r="A435" s="3" t="s">
        <v>23</v>
      </c>
      <c r="B435" s="3" t="s">
        <v>37</v>
      </c>
      <c r="C435" s="3" t="s">
        <v>13</v>
      </c>
      <c r="D435" s="4">
        <v>190508</v>
      </c>
      <c r="E435" s="4">
        <v>134411</v>
      </c>
    </row>
    <row r="436" spans="1:5" x14ac:dyDescent="0.3">
      <c r="A436" s="3" t="s">
        <v>23</v>
      </c>
      <c r="B436" s="3" t="s">
        <v>38</v>
      </c>
      <c r="C436" s="3" t="s">
        <v>2</v>
      </c>
      <c r="D436" s="4">
        <v>137468</v>
      </c>
      <c r="E436" s="4">
        <v>54419</v>
      </c>
    </row>
    <row r="437" spans="1:5" x14ac:dyDescent="0.3">
      <c r="A437" s="3" t="s">
        <v>23</v>
      </c>
      <c r="B437" s="3" t="s">
        <v>38</v>
      </c>
      <c r="C437" s="3" t="s">
        <v>3</v>
      </c>
      <c r="D437" s="4">
        <v>187004</v>
      </c>
      <c r="E437" s="4">
        <v>71016</v>
      </c>
    </row>
    <row r="438" spans="1:5" x14ac:dyDescent="0.3">
      <c r="A438" s="3" t="s">
        <v>23</v>
      </c>
      <c r="B438" s="3" t="s">
        <v>38</v>
      </c>
      <c r="C438" s="3" t="s">
        <v>4</v>
      </c>
      <c r="D438" s="4">
        <v>213914</v>
      </c>
      <c r="E438" s="4">
        <v>97621</v>
      </c>
    </row>
    <row r="439" spans="1:5" x14ac:dyDescent="0.3">
      <c r="A439" s="3" t="s">
        <v>23</v>
      </c>
      <c r="B439" s="3" t="s">
        <v>38</v>
      </c>
      <c r="C439" s="3" t="s">
        <v>5</v>
      </c>
      <c r="D439" s="4">
        <v>184730</v>
      </c>
      <c r="E439" s="4">
        <v>69699</v>
      </c>
    </row>
    <row r="440" spans="1:5" x14ac:dyDescent="0.3">
      <c r="A440" s="3" t="s">
        <v>23</v>
      </c>
      <c r="B440" s="3" t="s">
        <v>38</v>
      </c>
      <c r="C440" s="3" t="s">
        <v>6</v>
      </c>
      <c r="D440" s="4">
        <v>179446</v>
      </c>
      <c r="E440" s="4">
        <v>73067</v>
      </c>
    </row>
    <row r="441" spans="1:5" x14ac:dyDescent="0.3">
      <c r="A441" s="3" t="s">
        <v>23</v>
      </c>
      <c r="B441" s="3" t="s">
        <v>38</v>
      </c>
      <c r="C441" s="3" t="s">
        <v>7</v>
      </c>
      <c r="D441" s="4">
        <v>190103</v>
      </c>
      <c r="E441" s="4">
        <v>70516</v>
      </c>
    </row>
    <row r="442" spans="1:5" x14ac:dyDescent="0.3">
      <c r="A442" s="3" t="s">
        <v>23</v>
      </c>
      <c r="B442" s="3" t="s">
        <v>38</v>
      </c>
      <c r="C442" s="3" t="s">
        <v>8</v>
      </c>
      <c r="D442" s="4">
        <v>228789</v>
      </c>
      <c r="E442" s="4">
        <v>90462</v>
      </c>
    </row>
    <row r="443" spans="1:5" x14ac:dyDescent="0.3">
      <c r="A443" s="3" t="s">
        <v>23</v>
      </c>
      <c r="B443" s="3" t="s">
        <v>38</v>
      </c>
      <c r="C443" s="3" t="s">
        <v>9</v>
      </c>
      <c r="D443" s="4">
        <v>275294</v>
      </c>
      <c r="E443" s="4">
        <v>113112</v>
      </c>
    </row>
    <row r="444" spans="1:5" x14ac:dyDescent="0.3">
      <c r="A444" s="3" t="s">
        <v>23</v>
      </c>
      <c r="B444" s="3" t="s">
        <v>38</v>
      </c>
      <c r="C444" s="3" t="s">
        <v>10</v>
      </c>
      <c r="D444" s="4">
        <v>242303</v>
      </c>
      <c r="E444" s="4">
        <v>71304</v>
      </c>
    </row>
    <row r="445" spans="1:5" x14ac:dyDescent="0.3">
      <c r="A445" s="3" t="s">
        <v>23</v>
      </c>
      <c r="B445" s="3" t="s">
        <v>38</v>
      </c>
      <c r="C445" s="3" t="s">
        <v>11</v>
      </c>
      <c r="D445" s="4">
        <v>217123</v>
      </c>
      <c r="E445" s="4">
        <v>75937</v>
      </c>
    </row>
    <row r="446" spans="1:5" x14ac:dyDescent="0.3">
      <c r="A446" s="3" t="s">
        <v>23</v>
      </c>
      <c r="B446" s="3" t="s">
        <v>38</v>
      </c>
      <c r="C446" s="3" t="s">
        <v>12</v>
      </c>
      <c r="D446" s="4">
        <v>203851</v>
      </c>
      <c r="E446" s="4">
        <v>80740</v>
      </c>
    </row>
    <row r="447" spans="1:5" x14ac:dyDescent="0.3">
      <c r="A447" s="3" t="s">
        <v>23</v>
      </c>
      <c r="B447" s="3" t="s">
        <v>38</v>
      </c>
      <c r="C447" s="3" t="s">
        <v>13</v>
      </c>
      <c r="D447" s="4">
        <v>209296</v>
      </c>
      <c r="E447" s="4">
        <v>128432</v>
      </c>
    </row>
    <row r="448" spans="1:5" x14ac:dyDescent="0.3">
      <c r="A448" s="3" t="s">
        <v>23</v>
      </c>
      <c r="B448" s="3" t="s">
        <v>36</v>
      </c>
      <c r="C448" s="3" t="s">
        <v>2</v>
      </c>
      <c r="D448" s="4">
        <v>60349</v>
      </c>
      <c r="E448" s="4">
        <v>28586</v>
      </c>
    </row>
    <row r="449" spans="1:5" x14ac:dyDescent="0.3">
      <c r="A449" s="3" t="s">
        <v>23</v>
      </c>
      <c r="B449" s="3" t="s">
        <v>36</v>
      </c>
      <c r="C449" s="3" t="s">
        <v>3</v>
      </c>
      <c r="D449" s="4">
        <v>55530</v>
      </c>
      <c r="E449" s="4">
        <v>23685</v>
      </c>
    </row>
    <row r="450" spans="1:5" x14ac:dyDescent="0.3">
      <c r="A450" s="3" t="s">
        <v>23</v>
      </c>
      <c r="B450" s="3" t="s">
        <v>36</v>
      </c>
      <c r="C450" s="3" t="s">
        <v>4</v>
      </c>
      <c r="D450" s="4">
        <v>59811</v>
      </c>
      <c r="E450" s="4">
        <v>28803</v>
      </c>
    </row>
    <row r="451" spans="1:5" x14ac:dyDescent="0.3">
      <c r="A451" s="3" t="s">
        <v>23</v>
      </c>
      <c r="B451" s="3" t="s">
        <v>36</v>
      </c>
      <c r="C451" s="3" t="s">
        <v>5</v>
      </c>
      <c r="D451" s="4">
        <v>80945</v>
      </c>
      <c r="E451" s="4">
        <v>26225</v>
      </c>
    </row>
    <row r="452" spans="1:5" x14ac:dyDescent="0.3">
      <c r="A452" s="3" t="s">
        <v>23</v>
      </c>
      <c r="B452" s="3" t="s">
        <v>36</v>
      </c>
      <c r="C452" s="3" t="s">
        <v>6</v>
      </c>
      <c r="D452" s="4">
        <v>75565</v>
      </c>
      <c r="E452" s="4">
        <v>26548</v>
      </c>
    </row>
    <row r="453" spans="1:5" x14ac:dyDescent="0.3">
      <c r="A453" s="3" t="s">
        <v>23</v>
      </c>
      <c r="B453" s="3" t="s">
        <v>36</v>
      </c>
      <c r="C453" s="3" t="s">
        <v>7</v>
      </c>
      <c r="D453" s="4">
        <v>70418</v>
      </c>
      <c r="E453" s="4">
        <v>25482</v>
      </c>
    </row>
    <row r="454" spans="1:5" x14ac:dyDescent="0.3">
      <c r="A454" s="3" t="s">
        <v>23</v>
      </c>
      <c r="B454" s="3" t="s">
        <v>36</v>
      </c>
      <c r="C454" s="3" t="s">
        <v>8</v>
      </c>
      <c r="D454" s="4">
        <v>70933</v>
      </c>
      <c r="E454" s="4">
        <v>28594</v>
      </c>
    </row>
    <row r="455" spans="1:5" x14ac:dyDescent="0.3">
      <c r="A455" s="3" t="s">
        <v>23</v>
      </c>
      <c r="B455" s="3" t="s">
        <v>36</v>
      </c>
      <c r="C455" s="3" t="s">
        <v>9</v>
      </c>
      <c r="D455" s="4">
        <v>67968</v>
      </c>
      <c r="E455" s="4">
        <v>36358</v>
      </c>
    </row>
    <row r="456" spans="1:5" x14ac:dyDescent="0.3">
      <c r="A456" s="3" t="s">
        <v>23</v>
      </c>
      <c r="B456" s="3" t="s">
        <v>36</v>
      </c>
      <c r="C456" s="3" t="s">
        <v>10</v>
      </c>
      <c r="D456" s="4">
        <v>99859</v>
      </c>
      <c r="E456" s="4">
        <v>28122</v>
      </c>
    </row>
    <row r="457" spans="1:5" x14ac:dyDescent="0.3">
      <c r="A457" s="3" t="s">
        <v>23</v>
      </c>
      <c r="B457" s="3" t="s">
        <v>36</v>
      </c>
      <c r="C457" s="3" t="s">
        <v>11</v>
      </c>
      <c r="D457" s="4">
        <v>120983</v>
      </c>
      <c r="E457" s="4">
        <v>34870</v>
      </c>
    </row>
    <row r="458" spans="1:5" x14ac:dyDescent="0.3">
      <c r="A458" s="3" t="s">
        <v>23</v>
      </c>
      <c r="B458" s="3" t="s">
        <v>36</v>
      </c>
      <c r="C458" s="3" t="s">
        <v>12</v>
      </c>
      <c r="D458" s="4">
        <v>115736</v>
      </c>
      <c r="E458" s="4">
        <v>46483</v>
      </c>
    </row>
    <row r="459" spans="1:5" x14ac:dyDescent="0.3">
      <c r="A459" s="3" t="s">
        <v>23</v>
      </c>
      <c r="B459" s="3" t="s">
        <v>36</v>
      </c>
      <c r="C459" s="3" t="s">
        <v>13</v>
      </c>
      <c r="D459" s="4">
        <v>122823</v>
      </c>
      <c r="E459" s="4">
        <v>71492</v>
      </c>
    </row>
    <row r="460" spans="1:5" x14ac:dyDescent="0.3">
      <c r="A460" s="3" t="s">
        <v>23</v>
      </c>
      <c r="B460" s="3" t="s">
        <v>35</v>
      </c>
      <c r="C460" s="3" t="s">
        <v>2</v>
      </c>
      <c r="D460" s="4">
        <v>171477</v>
      </c>
      <c r="E460" s="4">
        <v>80319</v>
      </c>
    </row>
    <row r="461" spans="1:5" x14ac:dyDescent="0.3">
      <c r="A461" s="3" t="s">
        <v>23</v>
      </c>
      <c r="B461" s="3" t="s">
        <v>35</v>
      </c>
      <c r="C461" s="3" t="s">
        <v>3</v>
      </c>
      <c r="D461" s="4">
        <v>199406</v>
      </c>
      <c r="E461" s="4">
        <v>96033</v>
      </c>
    </row>
    <row r="462" spans="1:5" x14ac:dyDescent="0.3">
      <c r="A462" s="3" t="s">
        <v>23</v>
      </c>
      <c r="B462" s="3" t="s">
        <v>35</v>
      </c>
      <c r="C462" s="3" t="s">
        <v>4</v>
      </c>
      <c r="D462" s="4">
        <v>305965</v>
      </c>
      <c r="E462" s="4">
        <v>126172</v>
      </c>
    </row>
    <row r="463" spans="1:5" x14ac:dyDescent="0.3">
      <c r="A463" s="3" t="s">
        <v>23</v>
      </c>
      <c r="B463" s="3" t="s">
        <v>35</v>
      </c>
      <c r="C463" s="3" t="s">
        <v>5</v>
      </c>
      <c r="D463" s="4">
        <v>306869</v>
      </c>
      <c r="E463" s="4">
        <v>93535</v>
      </c>
    </row>
    <row r="464" spans="1:5" x14ac:dyDescent="0.3">
      <c r="A464" s="3" t="s">
        <v>23</v>
      </c>
      <c r="B464" s="3" t="s">
        <v>35</v>
      </c>
      <c r="C464" s="3" t="s">
        <v>6</v>
      </c>
      <c r="D464" s="4">
        <v>292665</v>
      </c>
      <c r="E464" s="4">
        <v>96097</v>
      </c>
    </row>
    <row r="465" spans="1:5" x14ac:dyDescent="0.3">
      <c r="A465" s="3" t="s">
        <v>23</v>
      </c>
      <c r="B465" s="3" t="s">
        <v>35</v>
      </c>
      <c r="C465" s="3" t="s">
        <v>7</v>
      </c>
      <c r="D465" s="4">
        <v>238997</v>
      </c>
      <c r="E465" s="4">
        <v>87539</v>
      </c>
    </row>
    <row r="466" spans="1:5" x14ac:dyDescent="0.3">
      <c r="A466" s="3" t="s">
        <v>23</v>
      </c>
      <c r="B466" s="3" t="s">
        <v>35</v>
      </c>
      <c r="C466" s="3" t="s">
        <v>8</v>
      </c>
      <c r="D466" s="4">
        <v>215582</v>
      </c>
      <c r="E466" s="4">
        <v>95068</v>
      </c>
    </row>
    <row r="467" spans="1:5" x14ac:dyDescent="0.3">
      <c r="A467" s="3" t="s">
        <v>23</v>
      </c>
      <c r="B467" s="3" t="s">
        <v>35</v>
      </c>
      <c r="C467" s="3" t="s">
        <v>9</v>
      </c>
      <c r="D467" s="4">
        <v>220981</v>
      </c>
      <c r="E467" s="4">
        <v>110864</v>
      </c>
    </row>
    <row r="468" spans="1:5" x14ac:dyDescent="0.3">
      <c r="A468" s="3" t="s">
        <v>23</v>
      </c>
      <c r="B468" s="3" t="s">
        <v>35</v>
      </c>
      <c r="C468" s="3" t="s">
        <v>10</v>
      </c>
      <c r="D468" s="4">
        <v>305777</v>
      </c>
      <c r="E468" s="4">
        <v>119302</v>
      </c>
    </row>
    <row r="469" spans="1:5" x14ac:dyDescent="0.3">
      <c r="A469" s="3" t="s">
        <v>23</v>
      </c>
      <c r="B469" s="3" t="s">
        <v>35</v>
      </c>
      <c r="C469" s="3" t="s">
        <v>11</v>
      </c>
      <c r="D469" s="4">
        <v>311084</v>
      </c>
      <c r="E469" s="4">
        <v>164005</v>
      </c>
    </row>
    <row r="470" spans="1:5" x14ac:dyDescent="0.3">
      <c r="A470" s="3" t="s">
        <v>23</v>
      </c>
      <c r="B470" s="3" t="s">
        <v>35</v>
      </c>
      <c r="C470" s="3" t="s">
        <v>12</v>
      </c>
      <c r="D470" s="4">
        <v>286954</v>
      </c>
      <c r="E470" s="4">
        <v>156644</v>
      </c>
    </row>
    <row r="471" spans="1:5" x14ac:dyDescent="0.3">
      <c r="A471" s="3" t="s">
        <v>23</v>
      </c>
      <c r="B471" s="3" t="s">
        <v>35</v>
      </c>
      <c r="C471" s="3" t="s">
        <v>13</v>
      </c>
      <c r="D471" s="4">
        <v>324339</v>
      </c>
      <c r="E471" s="4">
        <v>262007</v>
      </c>
    </row>
    <row r="472" spans="1:5" x14ac:dyDescent="0.3">
      <c r="A472" s="3" t="s">
        <v>23</v>
      </c>
      <c r="B472" s="3" t="s">
        <v>34</v>
      </c>
      <c r="C472" s="3" t="s">
        <v>2</v>
      </c>
      <c r="D472" s="4">
        <v>5131</v>
      </c>
      <c r="E472" s="4">
        <v>1005</v>
      </c>
    </row>
    <row r="473" spans="1:5" x14ac:dyDescent="0.3">
      <c r="A473" s="3" t="s">
        <v>23</v>
      </c>
      <c r="B473" s="3" t="s">
        <v>34</v>
      </c>
      <c r="C473" s="3" t="s">
        <v>3</v>
      </c>
      <c r="D473" s="4">
        <v>3953</v>
      </c>
      <c r="E473" s="4">
        <v>578</v>
      </c>
    </row>
    <row r="474" spans="1:5" x14ac:dyDescent="0.3">
      <c r="A474" s="3" t="s">
        <v>23</v>
      </c>
      <c r="B474" s="3" t="s">
        <v>34</v>
      </c>
      <c r="C474" s="3" t="s">
        <v>4</v>
      </c>
      <c r="D474" s="4">
        <v>3437</v>
      </c>
      <c r="E474" s="4">
        <v>482</v>
      </c>
    </row>
    <row r="475" spans="1:5" x14ac:dyDescent="0.3">
      <c r="A475" s="3" t="s">
        <v>23</v>
      </c>
      <c r="B475" s="3" t="s">
        <v>34</v>
      </c>
      <c r="C475" s="3" t="s">
        <v>5</v>
      </c>
      <c r="D475" s="4">
        <v>3271</v>
      </c>
      <c r="E475" s="4">
        <v>466</v>
      </c>
    </row>
    <row r="476" spans="1:5" x14ac:dyDescent="0.3">
      <c r="A476" s="3" t="s">
        <v>23</v>
      </c>
      <c r="B476" s="3" t="s">
        <v>34</v>
      </c>
      <c r="C476" s="3" t="s">
        <v>6</v>
      </c>
      <c r="D476" s="4">
        <v>2630</v>
      </c>
      <c r="E476" s="4">
        <v>567</v>
      </c>
    </row>
    <row r="477" spans="1:5" x14ac:dyDescent="0.3">
      <c r="A477" s="3" t="s">
        <v>23</v>
      </c>
      <c r="B477" s="3" t="s">
        <v>34</v>
      </c>
      <c r="C477" s="3" t="s">
        <v>7</v>
      </c>
      <c r="D477" s="4">
        <v>21400</v>
      </c>
      <c r="E477" s="4">
        <v>2342</v>
      </c>
    </row>
    <row r="478" spans="1:5" x14ac:dyDescent="0.3">
      <c r="A478" s="3" t="s">
        <v>23</v>
      </c>
      <c r="B478" s="3" t="s">
        <v>34</v>
      </c>
      <c r="C478" s="3" t="s">
        <v>8</v>
      </c>
      <c r="D478" s="4">
        <v>35069</v>
      </c>
      <c r="E478" s="4">
        <v>6782</v>
      </c>
    </row>
    <row r="479" spans="1:5" x14ac:dyDescent="0.3">
      <c r="A479" s="3" t="s">
        <v>23</v>
      </c>
      <c r="B479" s="3" t="s">
        <v>34</v>
      </c>
      <c r="C479" s="3" t="s">
        <v>9</v>
      </c>
      <c r="D479" s="4">
        <v>28819</v>
      </c>
      <c r="E479" s="4">
        <v>14934</v>
      </c>
    </row>
    <row r="480" spans="1:5" x14ac:dyDescent="0.3">
      <c r="A480" s="3" t="s">
        <v>23</v>
      </c>
      <c r="B480" s="3" t="s">
        <v>34</v>
      </c>
      <c r="C480" s="3" t="s">
        <v>10</v>
      </c>
      <c r="D480" s="4">
        <v>13830</v>
      </c>
      <c r="E480" s="4">
        <v>2633</v>
      </c>
    </row>
    <row r="481" spans="1:5" x14ac:dyDescent="0.3">
      <c r="A481" s="3" t="s">
        <v>23</v>
      </c>
      <c r="B481" s="3" t="s">
        <v>34</v>
      </c>
      <c r="C481" s="3" t="s">
        <v>11</v>
      </c>
      <c r="D481" s="4">
        <v>9463</v>
      </c>
      <c r="E481" s="4">
        <v>2532</v>
      </c>
    </row>
    <row r="482" spans="1:5" x14ac:dyDescent="0.3">
      <c r="A482" s="3" t="s">
        <v>23</v>
      </c>
      <c r="B482" s="3" t="s">
        <v>34</v>
      </c>
      <c r="C482" s="3" t="s">
        <v>12</v>
      </c>
      <c r="D482" s="4">
        <v>10884</v>
      </c>
      <c r="E482" s="4">
        <v>4339</v>
      </c>
    </row>
    <row r="483" spans="1:5" x14ac:dyDescent="0.3">
      <c r="A483" s="3" t="s">
        <v>23</v>
      </c>
      <c r="B483" s="3" t="s">
        <v>34</v>
      </c>
      <c r="C483" s="3" t="s">
        <v>13</v>
      </c>
      <c r="D483" s="4">
        <v>6967</v>
      </c>
      <c r="E483" s="4">
        <v>1228</v>
      </c>
    </row>
    <row r="484" spans="1:5" x14ac:dyDescent="0.3">
      <c r="A484" s="3" t="s">
        <v>24</v>
      </c>
      <c r="B484" s="3" t="s">
        <v>37</v>
      </c>
      <c r="C484" s="3" t="s">
        <v>2</v>
      </c>
      <c r="D484" s="4">
        <v>92692</v>
      </c>
      <c r="E484" s="4">
        <v>27519</v>
      </c>
    </row>
    <row r="485" spans="1:5" x14ac:dyDescent="0.3">
      <c r="A485" s="3" t="s">
        <v>24</v>
      </c>
      <c r="B485" s="3" t="s">
        <v>37</v>
      </c>
      <c r="C485" s="3" t="s">
        <v>3</v>
      </c>
      <c r="D485" s="4">
        <v>110210</v>
      </c>
      <c r="E485" s="4">
        <v>37894</v>
      </c>
    </row>
    <row r="486" spans="1:5" x14ac:dyDescent="0.3">
      <c r="A486" s="3" t="s">
        <v>24</v>
      </c>
      <c r="B486" s="3" t="s">
        <v>37</v>
      </c>
      <c r="C486" s="3" t="s">
        <v>4</v>
      </c>
      <c r="D486" s="4">
        <v>123751</v>
      </c>
      <c r="E486" s="4">
        <v>43987</v>
      </c>
    </row>
    <row r="487" spans="1:5" x14ac:dyDescent="0.3">
      <c r="A487" s="3" t="s">
        <v>24</v>
      </c>
      <c r="B487" s="3" t="s">
        <v>37</v>
      </c>
      <c r="C487" s="3" t="s">
        <v>5</v>
      </c>
      <c r="D487" s="4">
        <v>112953</v>
      </c>
      <c r="E487" s="4">
        <v>35002</v>
      </c>
    </row>
    <row r="488" spans="1:5" x14ac:dyDescent="0.3">
      <c r="A488" s="3" t="s">
        <v>24</v>
      </c>
      <c r="B488" s="3" t="s">
        <v>37</v>
      </c>
      <c r="C488" s="3" t="s">
        <v>6</v>
      </c>
      <c r="D488" s="4">
        <v>103287</v>
      </c>
      <c r="E488" s="4">
        <v>38682</v>
      </c>
    </row>
    <row r="489" spans="1:5" x14ac:dyDescent="0.3">
      <c r="A489" s="3" t="s">
        <v>24</v>
      </c>
      <c r="B489" s="3" t="s">
        <v>37</v>
      </c>
      <c r="C489" s="3" t="s">
        <v>7</v>
      </c>
      <c r="D489" s="4">
        <v>125686</v>
      </c>
      <c r="E489" s="4">
        <v>41113</v>
      </c>
    </row>
    <row r="490" spans="1:5" x14ac:dyDescent="0.3">
      <c r="A490" s="3" t="s">
        <v>24</v>
      </c>
      <c r="B490" s="3" t="s">
        <v>37</v>
      </c>
      <c r="C490" s="3" t="s">
        <v>8</v>
      </c>
      <c r="D490" s="4">
        <v>111032</v>
      </c>
      <c r="E490" s="4">
        <v>33559</v>
      </c>
    </row>
    <row r="491" spans="1:5" x14ac:dyDescent="0.3">
      <c r="A491" s="3" t="s">
        <v>24</v>
      </c>
      <c r="B491" s="3" t="s">
        <v>37</v>
      </c>
      <c r="C491" s="3" t="s">
        <v>9</v>
      </c>
      <c r="D491" s="4">
        <v>116132</v>
      </c>
      <c r="E491" s="4">
        <v>42026</v>
      </c>
    </row>
    <row r="492" spans="1:5" x14ac:dyDescent="0.3">
      <c r="A492" s="3" t="s">
        <v>24</v>
      </c>
      <c r="B492" s="3" t="s">
        <v>37</v>
      </c>
      <c r="C492" s="3" t="s">
        <v>10</v>
      </c>
      <c r="D492" s="4">
        <v>129278</v>
      </c>
      <c r="E492" s="4">
        <v>36825</v>
      </c>
    </row>
    <row r="493" spans="1:5" x14ac:dyDescent="0.3">
      <c r="A493" s="3" t="s">
        <v>24</v>
      </c>
      <c r="B493" s="3" t="s">
        <v>37</v>
      </c>
      <c r="C493" s="3" t="s">
        <v>11</v>
      </c>
      <c r="D493" s="4">
        <v>111052</v>
      </c>
      <c r="E493" s="4">
        <v>34577</v>
      </c>
    </row>
    <row r="494" spans="1:5" x14ac:dyDescent="0.3">
      <c r="A494" s="3" t="s">
        <v>24</v>
      </c>
      <c r="B494" s="3" t="s">
        <v>37</v>
      </c>
      <c r="C494" s="3" t="s">
        <v>12</v>
      </c>
      <c r="D494" s="4">
        <v>102531</v>
      </c>
      <c r="E494" s="4">
        <v>39382</v>
      </c>
    </row>
    <row r="495" spans="1:5" x14ac:dyDescent="0.3">
      <c r="A495" s="3" t="s">
        <v>24</v>
      </c>
      <c r="B495" s="3" t="s">
        <v>37</v>
      </c>
      <c r="C495" s="3" t="s">
        <v>13</v>
      </c>
      <c r="D495" s="4">
        <v>115724</v>
      </c>
      <c r="E495" s="4">
        <v>54879</v>
      </c>
    </row>
    <row r="496" spans="1:5" x14ac:dyDescent="0.3">
      <c r="A496" s="3" t="s">
        <v>24</v>
      </c>
      <c r="B496" s="3" t="s">
        <v>38</v>
      </c>
      <c r="C496" s="3" t="s">
        <v>2</v>
      </c>
      <c r="D496" s="4">
        <v>80828</v>
      </c>
      <c r="E496" s="4">
        <v>20148</v>
      </c>
    </row>
    <row r="497" spans="1:5" x14ac:dyDescent="0.3">
      <c r="A497" s="3" t="s">
        <v>24</v>
      </c>
      <c r="B497" s="3" t="s">
        <v>38</v>
      </c>
      <c r="C497" s="3" t="s">
        <v>3</v>
      </c>
      <c r="D497" s="4">
        <v>117392</v>
      </c>
      <c r="E497" s="4">
        <v>31373</v>
      </c>
    </row>
    <row r="498" spans="1:5" x14ac:dyDescent="0.3">
      <c r="A498" s="3" t="s">
        <v>24</v>
      </c>
      <c r="B498" s="3" t="s">
        <v>38</v>
      </c>
      <c r="C498" s="3" t="s">
        <v>4</v>
      </c>
      <c r="D498" s="4">
        <v>128817</v>
      </c>
      <c r="E498" s="4">
        <v>40511</v>
      </c>
    </row>
    <row r="499" spans="1:5" x14ac:dyDescent="0.3">
      <c r="A499" s="3" t="s">
        <v>24</v>
      </c>
      <c r="B499" s="3" t="s">
        <v>38</v>
      </c>
      <c r="C499" s="3" t="s">
        <v>5</v>
      </c>
      <c r="D499" s="4">
        <v>115644</v>
      </c>
      <c r="E499" s="4">
        <v>31772</v>
      </c>
    </row>
    <row r="500" spans="1:5" x14ac:dyDescent="0.3">
      <c r="A500" s="3" t="s">
        <v>24</v>
      </c>
      <c r="B500" s="3" t="s">
        <v>38</v>
      </c>
      <c r="C500" s="3" t="s">
        <v>6</v>
      </c>
      <c r="D500" s="4">
        <v>107304</v>
      </c>
      <c r="E500" s="4">
        <v>34159</v>
      </c>
    </row>
    <row r="501" spans="1:5" x14ac:dyDescent="0.3">
      <c r="A501" s="3" t="s">
        <v>24</v>
      </c>
      <c r="B501" s="3" t="s">
        <v>38</v>
      </c>
      <c r="C501" s="3" t="s">
        <v>7</v>
      </c>
      <c r="D501" s="4">
        <v>111481</v>
      </c>
      <c r="E501" s="4">
        <v>28972</v>
      </c>
    </row>
    <row r="502" spans="1:5" x14ac:dyDescent="0.3">
      <c r="A502" s="3" t="s">
        <v>24</v>
      </c>
      <c r="B502" s="3" t="s">
        <v>38</v>
      </c>
      <c r="C502" s="3" t="s">
        <v>8</v>
      </c>
      <c r="D502" s="4">
        <v>131414</v>
      </c>
      <c r="E502" s="4">
        <v>36170</v>
      </c>
    </row>
    <row r="503" spans="1:5" x14ac:dyDescent="0.3">
      <c r="A503" s="3" t="s">
        <v>24</v>
      </c>
      <c r="B503" s="3" t="s">
        <v>38</v>
      </c>
      <c r="C503" s="3" t="s">
        <v>9</v>
      </c>
      <c r="D503" s="4">
        <v>153135</v>
      </c>
      <c r="E503" s="4">
        <v>44676</v>
      </c>
    </row>
    <row r="504" spans="1:5" x14ac:dyDescent="0.3">
      <c r="A504" s="3" t="s">
        <v>24</v>
      </c>
      <c r="B504" s="3" t="s">
        <v>38</v>
      </c>
      <c r="C504" s="3" t="s">
        <v>10</v>
      </c>
      <c r="D504" s="4">
        <v>144495</v>
      </c>
      <c r="E504" s="4">
        <v>29857</v>
      </c>
    </row>
    <row r="505" spans="1:5" x14ac:dyDescent="0.3">
      <c r="A505" s="3" t="s">
        <v>24</v>
      </c>
      <c r="B505" s="3" t="s">
        <v>38</v>
      </c>
      <c r="C505" s="3" t="s">
        <v>11</v>
      </c>
      <c r="D505" s="4">
        <v>132028</v>
      </c>
      <c r="E505" s="4">
        <v>34336</v>
      </c>
    </row>
    <row r="506" spans="1:5" x14ac:dyDescent="0.3">
      <c r="A506" s="3" t="s">
        <v>24</v>
      </c>
      <c r="B506" s="3" t="s">
        <v>38</v>
      </c>
      <c r="C506" s="3" t="s">
        <v>12</v>
      </c>
      <c r="D506" s="4">
        <v>122478</v>
      </c>
      <c r="E506" s="4">
        <v>38644</v>
      </c>
    </row>
    <row r="507" spans="1:5" x14ac:dyDescent="0.3">
      <c r="A507" s="3" t="s">
        <v>24</v>
      </c>
      <c r="B507" s="3" t="s">
        <v>38</v>
      </c>
      <c r="C507" s="3" t="s">
        <v>13</v>
      </c>
      <c r="D507" s="4">
        <v>121228</v>
      </c>
      <c r="E507" s="4">
        <v>62616</v>
      </c>
    </row>
    <row r="508" spans="1:5" x14ac:dyDescent="0.3">
      <c r="A508" s="3" t="s">
        <v>24</v>
      </c>
      <c r="B508" s="3" t="s">
        <v>36</v>
      </c>
      <c r="C508" s="3" t="s">
        <v>2</v>
      </c>
      <c r="D508" s="4">
        <v>32788</v>
      </c>
      <c r="E508" s="4">
        <v>14129</v>
      </c>
    </row>
    <row r="509" spans="1:5" x14ac:dyDescent="0.3">
      <c r="A509" s="3" t="s">
        <v>24</v>
      </c>
      <c r="B509" s="3" t="s">
        <v>36</v>
      </c>
      <c r="C509" s="3" t="s">
        <v>3</v>
      </c>
      <c r="D509" s="4">
        <v>30616</v>
      </c>
      <c r="E509" s="4">
        <v>11814</v>
      </c>
    </row>
    <row r="510" spans="1:5" x14ac:dyDescent="0.3">
      <c r="A510" s="3" t="s">
        <v>24</v>
      </c>
      <c r="B510" s="3" t="s">
        <v>36</v>
      </c>
      <c r="C510" s="3" t="s">
        <v>4</v>
      </c>
      <c r="D510" s="4">
        <v>33514</v>
      </c>
      <c r="E510" s="4">
        <v>12487</v>
      </c>
    </row>
    <row r="511" spans="1:5" x14ac:dyDescent="0.3">
      <c r="A511" s="3" t="s">
        <v>24</v>
      </c>
      <c r="B511" s="3" t="s">
        <v>36</v>
      </c>
      <c r="C511" s="3" t="s">
        <v>5</v>
      </c>
      <c r="D511" s="4">
        <v>46411</v>
      </c>
      <c r="E511" s="4">
        <v>13212</v>
      </c>
    </row>
    <row r="512" spans="1:5" x14ac:dyDescent="0.3">
      <c r="A512" s="3" t="s">
        <v>24</v>
      </c>
      <c r="B512" s="3" t="s">
        <v>36</v>
      </c>
      <c r="C512" s="3" t="s">
        <v>6</v>
      </c>
      <c r="D512" s="4">
        <v>40465</v>
      </c>
      <c r="E512" s="4">
        <v>13043</v>
      </c>
    </row>
    <row r="513" spans="1:5" x14ac:dyDescent="0.3">
      <c r="A513" s="3" t="s">
        <v>24</v>
      </c>
      <c r="B513" s="3" t="s">
        <v>36</v>
      </c>
      <c r="C513" s="3" t="s">
        <v>7</v>
      </c>
      <c r="D513" s="4">
        <v>37706</v>
      </c>
      <c r="E513" s="4">
        <v>10994</v>
      </c>
    </row>
    <row r="514" spans="1:5" x14ac:dyDescent="0.3">
      <c r="A514" s="3" t="s">
        <v>24</v>
      </c>
      <c r="B514" s="3" t="s">
        <v>36</v>
      </c>
      <c r="C514" s="3" t="s">
        <v>8</v>
      </c>
      <c r="D514" s="4">
        <v>37605</v>
      </c>
      <c r="E514" s="4">
        <v>11945</v>
      </c>
    </row>
    <row r="515" spans="1:5" x14ac:dyDescent="0.3">
      <c r="A515" s="3" t="s">
        <v>24</v>
      </c>
      <c r="B515" s="3" t="s">
        <v>36</v>
      </c>
      <c r="C515" s="3" t="s">
        <v>9</v>
      </c>
      <c r="D515" s="4">
        <v>34482</v>
      </c>
      <c r="E515" s="4">
        <v>13779</v>
      </c>
    </row>
    <row r="516" spans="1:5" x14ac:dyDescent="0.3">
      <c r="A516" s="3" t="s">
        <v>24</v>
      </c>
      <c r="B516" s="3" t="s">
        <v>36</v>
      </c>
      <c r="C516" s="3" t="s">
        <v>10</v>
      </c>
      <c r="D516" s="4">
        <v>46696</v>
      </c>
      <c r="E516" s="4">
        <v>11767</v>
      </c>
    </row>
    <row r="517" spans="1:5" x14ac:dyDescent="0.3">
      <c r="A517" s="3" t="s">
        <v>24</v>
      </c>
      <c r="B517" s="3" t="s">
        <v>36</v>
      </c>
      <c r="C517" s="3" t="s">
        <v>11</v>
      </c>
      <c r="D517" s="4">
        <v>52724</v>
      </c>
      <c r="E517" s="4">
        <v>12919</v>
      </c>
    </row>
    <row r="518" spans="1:5" x14ac:dyDescent="0.3">
      <c r="A518" s="3" t="s">
        <v>24</v>
      </c>
      <c r="B518" s="3" t="s">
        <v>36</v>
      </c>
      <c r="C518" s="3" t="s">
        <v>12</v>
      </c>
      <c r="D518" s="4">
        <v>49277</v>
      </c>
      <c r="E518" s="4">
        <v>16994</v>
      </c>
    </row>
    <row r="519" spans="1:5" x14ac:dyDescent="0.3">
      <c r="A519" s="3" t="s">
        <v>24</v>
      </c>
      <c r="B519" s="3" t="s">
        <v>36</v>
      </c>
      <c r="C519" s="3" t="s">
        <v>13</v>
      </c>
      <c r="D519" s="4">
        <v>51201</v>
      </c>
      <c r="E519" s="4">
        <v>26935</v>
      </c>
    </row>
    <row r="520" spans="1:5" x14ac:dyDescent="0.3">
      <c r="A520" s="3" t="s">
        <v>24</v>
      </c>
      <c r="B520" s="3" t="s">
        <v>35</v>
      </c>
      <c r="C520" s="3" t="s">
        <v>2</v>
      </c>
      <c r="D520" s="4">
        <v>109318</v>
      </c>
      <c r="E520" s="4">
        <v>30353</v>
      </c>
    </row>
    <row r="521" spans="1:5" x14ac:dyDescent="0.3">
      <c r="A521" s="3" t="s">
        <v>24</v>
      </c>
      <c r="B521" s="3" t="s">
        <v>35</v>
      </c>
      <c r="C521" s="3" t="s">
        <v>3</v>
      </c>
      <c r="D521" s="4">
        <v>126017</v>
      </c>
      <c r="E521" s="4">
        <v>35290</v>
      </c>
    </row>
    <row r="522" spans="1:5" x14ac:dyDescent="0.3">
      <c r="A522" s="3" t="s">
        <v>24</v>
      </c>
      <c r="B522" s="3" t="s">
        <v>35</v>
      </c>
      <c r="C522" s="3" t="s">
        <v>4</v>
      </c>
      <c r="D522" s="4">
        <v>186152</v>
      </c>
      <c r="E522" s="4">
        <v>45798</v>
      </c>
    </row>
    <row r="523" spans="1:5" x14ac:dyDescent="0.3">
      <c r="A523" s="3" t="s">
        <v>24</v>
      </c>
      <c r="B523" s="3" t="s">
        <v>35</v>
      </c>
      <c r="C523" s="3" t="s">
        <v>5</v>
      </c>
      <c r="D523" s="4">
        <v>188058</v>
      </c>
      <c r="E523" s="4">
        <v>35474</v>
      </c>
    </row>
    <row r="524" spans="1:5" x14ac:dyDescent="0.3">
      <c r="A524" s="3" t="s">
        <v>24</v>
      </c>
      <c r="B524" s="3" t="s">
        <v>35</v>
      </c>
      <c r="C524" s="3" t="s">
        <v>6</v>
      </c>
      <c r="D524" s="4">
        <v>174041</v>
      </c>
      <c r="E524" s="4">
        <v>34501</v>
      </c>
    </row>
    <row r="525" spans="1:5" x14ac:dyDescent="0.3">
      <c r="A525" s="3" t="s">
        <v>24</v>
      </c>
      <c r="B525" s="3" t="s">
        <v>35</v>
      </c>
      <c r="C525" s="3" t="s">
        <v>7</v>
      </c>
      <c r="D525" s="4">
        <v>152159</v>
      </c>
      <c r="E525" s="4">
        <v>28211</v>
      </c>
    </row>
    <row r="526" spans="1:5" x14ac:dyDescent="0.3">
      <c r="A526" s="3" t="s">
        <v>24</v>
      </c>
      <c r="B526" s="3" t="s">
        <v>35</v>
      </c>
      <c r="C526" s="3" t="s">
        <v>8</v>
      </c>
      <c r="D526" s="4">
        <v>143190</v>
      </c>
      <c r="E526" s="4">
        <v>30196</v>
      </c>
    </row>
    <row r="527" spans="1:5" x14ac:dyDescent="0.3">
      <c r="A527" s="3" t="s">
        <v>24</v>
      </c>
      <c r="B527" s="3" t="s">
        <v>35</v>
      </c>
      <c r="C527" s="3" t="s">
        <v>9</v>
      </c>
      <c r="D527" s="4">
        <v>139719</v>
      </c>
      <c r="E527" s="4">
        <v>34255</v>
      </c>
    </row>
    <row r="528" spans="1:5" x14ac:dyDescent="0.3">
      <c r="A528" s="3" t="s">
        <v>24</v>
      </c>
      <c r="B528" s="3" t="s">
        <v>35</v>
      </c>
      <c r="C528" s="3" t="s">
        <v>10</v>
      </c>
      <c r="D528" s="4">
        <v>172227</v>
      </c>
      <c r="E528" s="4">
        <v>42271</v>
      </c>
    </row>
    <row r="529" spans="1:5" x14ac:dyDescent="0.3">
      <c r="A529" s="3" t="s">
        <v>24</v>
      </c>
      <c r="B529" s="3" t="s">
        <v>35</v>
      </c>
      <c r="C529" s="3" t="s">
        <v>11</v>
      </c>
      <c r="D529" s="4">
        <v>184476</v>
      </c>
      <c r="E529" s="4">
        <v>64955</v>
      </c>
    </row>
    <row r="530" spans="1:5" x14ac:dyDescent="0.3">
      <c r="A530" s="3" t="s">
        <v>24</v>
      </c>
      <c r="B530" s="3" t="s">
        <v>35</v>
      </c>
      <c r="C530" s="3" t="s">
        <v>12</v>
      </c>
      <c r="D530" s="4">
        <v>182738</v>
      </c>
      <c r="E530" s="4">
        <v>62673</v>
      </c>
    </row>
    <row r="531" spans="1:5" x14ac:dyDescent="0.3">
      <c r="A531" s="3" t="s">
        <v>24</v>
      </c>
      <c r="B531" s="3" t="s">
        <v>35</v>
      </c>
      <c r="C531" s="3" t="s">
        <v>13</v>
      </c>
      <c r="D531" s="4">
        <v>178498</v>
      </c>
      <c r="E531" s="4">
        <v>106996</v>
      </c>
    </row>
    <row r="532" spans="1:5" x14ac:dyDescent="0.3">
      <c r="A532" s="3" t="s">
        <v>24</v>
      </c>
      <c r="B532" s="3" t="s">
        <v>34</v>
      </c>
      <c r="C532" s="3" t="s">
        <v>2</v>
      </c>
      <c r="D532" s="4">
        <v>5252</v>
      </c>
      <c r="E532" s="4">
        <v>563</v>
      </c>
    </row>
    <row r="533" spans="1:5" x14ac:dyDescent="0.3">
      <c r="A533" s="3" t="s">
        <v>24</v>
      </c>
      <c r="B533" s="3" t="s">
        <v>34</v>
      </c>
      <c r="C533" s="3" t="s">
        <v>3</v>
      </c>
      <c r="D533" s="4">
        <v>4391</v>
      </c>
      <c r="E533" s="4">
        <v>317</v>
      </c>
    </row>
    <row r="534" spans="1:5" x14ac:dyDescent="0.3">
      <c r="A534" s="3" t="s">
        <v>24</v>
      </c>
      <c r="B534" s="3" t="s">
        <v>34</v>
      </c>
      <c r="C534" s="3" t="s">
        <v>4</v>
      </c>
      <c r="D534" s="4">
        <v>4079</v>
      </c>
      <c r="E534" s="4">
        <v>320</v>
      </c>
    </row>
    <row r="535" spans="1:5" x14ac:dyDescent="0.3">
      <c r="A535" s="3" t="s">
        <v>24</v>
      </c>
      <c r="B535" s="3" t="s">
        <v>34</v>
      </c>
      <c r="C535" s="3" t="s">
        <v>5</v>
      </c>
      <c r="D535" s="4">
        <v>3785</v>
      </c>
      <c r="E535" s="4">
        <v>267</v>
      </c>
    </row>
    <row r="536" spans="1:5" x14ac:dyDescent="0.3">
      <c r="A536" s="3" t="s">
        <v>24</v>
      </c>
      <c r="B536" s="3" t="s">
        <v>34</v>
      </c>
      <c r="C536" s="3" t="s">
        <v>6</v>
      </c>
      <c r="D536" s="4">
        <v>3071</v>
      </c>
      <c r="E536" s="4">
        <v>328</v>
      </c>
    </row>
    <row r="537" spans="1:5" x14ac:dyDescent="0.3">
      <c r="A537" s="3" t="s">
        <v>24</v>
      </c>
      <c r="B537" s="3" t="s">
        <v>34</v>
      </c>
      <c r="C537" s="3" t="s">
        <v>7</v>
      </c>
      <c r="D537" s="4">
        <v>12199</v>
      </c>
      <c r="E537" s="4">
        <v>1463</v>
      </c>
    </row>
    <row r="538" spans="1:5" x14ac:dyDescent="0.3">
      <c r="A538" s="3" t="s">
        <v>24</v>
      </c>
      <c r="B538" s="3" t="s">
        <v>34</v>
      </c>
      <c r="C538" s="3" t="s">
        <v>8</v>
      </c>
      <c r="D538" s="4">
        <v>18626</v>
      </c>
      <c r="E538" s="4">
        <v>4448</v>
      </c>
    </row>
    <row r="539" spans="1:5" x14ac:dyDescent="0.3">
      <c r="A539" s="3" t="s">
        <v>24</v>
      </c>
      <c r="B539" s="3" t="s">
        <v>34</v>
      </c>
      <c r="C539" s="3" t="s">
        <v>9</v>
      </c>
      <c r="D539" s="4">
        <v>15047</v>
      </c>
      <c r="E539" s="4">
        <v>5743</v>
      </c>
    </row>
    <row r="540" spans="1:5" x14ac:dyDescent="0.3">
      <c r="A540" s="3" t="s">
        <v>24</v>
      </c>
      <c r="B540" s="3" t="s">
        <v>34</v>
      </c>
      <c r="C540" s="3" t="s">
        <v>10</v>
      </c>
      <c r="D540" s="4">
        <v>9731</v>
      </c>
      <c r="E540" s="4">
        <v>550</v>
      </c>
    </row>
    <row r="541" spans="1:5" x14ac:dyDescent="0.3">
      <c r="A541" s="3" t="s">
        <v>24</v>
      </c>
      <c r="B541" s="3" t="s">
        <v>34</v>
      </c>
      <c r="C541" s="3" t="s">
        <v>11</v>
      </c>
      <c r="D541" s="4">
        <v>7737</v>
      </c>
      <c r="E541" s="4">
        <v>1237</v>
      </c>
    </row>
    <row r="542" spans="1:5" x14ac:dyDescent="0.3">
      <c r="A542" s="3" t="s">
        <v>24</v>
      </c>
      <c r="B542" s="3" t="s">
        <v>34</v>
      </c>
      <c r="C542" s="3" t="s">
        <v>12</v>
      </c>
      <c r="D542" s="4">
        <v>8662</v>
      </c>
      <c r="E542" s="4">
        <v>1872</v>
      </c>
    </row>
    <row r="543" spans="1:5" x14ac:dyDescent="0.3">
      <c r="A543" s="3" t="s">
        <v>24</v>
      </c>
      <c r="B543" s="3" t="s">
        <v>34</v>
      </c>
      <c r="C543" s="3" t="s">
        <v>13</v>
      </c>
      <c r="D543" s="4">
        <v>7278</v>
      </c>
      <c r="E543" s="4">
        <v>615</v>
      </c>
    </row>
    <row r="544" spans="1:5" x14ac:dyDescent="0.3">
      <c r="A544" s="3" t="s">
        <v>25</v>
      </c>
      <c r="B544" s="3" t="s">
        <v>37</v>
      </c>
      <c r="C544" s="3" t="s">
        <v>2</v>
      </c>
      <c r="D544" s="4">
        <v>66220</v>
      </c>
      <c r="E544" s="4">
        <v>26274</v>
      </c>
    </row>
    <row r="545" spans="1:5" x14ac:dyDescent="0.3">
      <c r="A545" s="3" t="s">
        <v>25</v>
      </c>
      <c r="B545" s="3" t="s">
        <v>37</v>
      </c>
      <c r="C545" s="3" t="s">
        <v>3</v>
      </c>
      <c r="D545" s="4">
        <v>84015</v>
      </c>
      <c r="E545" s="4">
        <v>31439</v>
      </c>
    </row>
    <row r="546" spans="1:5" x14ac:dyDescent="0.3">
      <c r="A546" s="3" t="s">
        <v>25</v>
      </c>
      <c r="B546" s="3" t="s">
        <v>37</v>
      </c>
      <c r="C546" s="3" t="s">
        <v>4</v>
      </c>
      <c r="D546" s="4">
        <v>93662</v>
      </c>
      <c r="E546" s="4">
        <v>36836</v>
      </c>
    </row>
    <row r="547" spans="1:5" x14ac:dyDescent="0.3">
      <c r="A547" s="3" t="s">
        <v>25</v>
      </c>
      <c r="B547" s="3" t="s">
        <v>37</v>
      </c>
      <c r="C547" s="3" t="s">
        <v>5</v>
      </c>
      <c r="D547" s="4">
        <v>83279</v>
      </c>
      <c r="E547" s="4">
        <v>29458</v>
      </c>
    </row>
    <row r="548" spans="1:5" x14ac:dyDescent="0.3">
      <c r="A548" s="3" t="s">
        <v>25</v>
      </c>
      <c r="B548" s="3" t="s">
        <v>37</v>
      </c>
      <c r="C548" s="3" t="s">
        <v>6</v>
      </c>
      <c r="D548" s="4">
        <v>78231</v>
      </c>
      <c r="E548" s="4">
        <v>32060</v>
      </c>
    </row>
    <row r="549" spans="1:5" x14ac:dyDescent="0.3">
      <c r="A549" s="3" t="s">
        <v>25</v>
      </c>
      <c r="B549" s="3" t="s">
        <v>37</v>
      </c>
      <c r="C549" s="3" t="s">
        <v>7</v>
      </c>
      <c r="D549" s="4">
        <v>95997</v>
      </c>
      <c r="E549" s="4">
        <v>35734</v>
      </c>
    </row>
    <row r="550" spans="1:5" x14ac:dyDescent="0.3">
      <c r="A550" s="3" t="s">
        <v>25</v>
      </c>
      <c r="B550" s="3" t="s">
        <v>37</v>
      </c>
      <c r="C550" s="3" t="s">
        <v>8</v>
      </c>
      <c r="D550" s="4">
        <v>84324</v>
      </c>
      <c r="E550" s="4">
        <v>31341</v>
      </c>
    </row>
    <row r="551" spans="1:5" x14ac:dyDescent="0.3">
      <c r="A551" s="3" t="s">
        <v>25</v>
      </c>
      <c r="B551" s="3" t="s">
        <v>37</v>
      </c>
      <c r="C551" s="3" t="s">
        <v>9</v>
      </c>
      <c r="D551" s="4">
        <v>92098</v>
      </c>
      <c r="E551" s="4">
        <v>38377</v>
      </c>
    </row>
    <row r="552" spans="1:5" x14ac:dyDescent="0.3">
      <c r="A552" s="3" t="s">
        <v>25</v>
      </c>
      <c r="B552" s="3" t="s">
        <v>37</v>
      </c>
      <c r="C552" s="3" t="s">
        <v>10</v>
      </c>
      <c r="D552" s="4">
        <v>96296</v>
      </c>
      <c r="E552" s="4">
        <v>30112</v>
      </c>
    </row>
    <row r="553" spans="1:5" x14ac:dyDescent="0.3">
      <c r="A553" s="3" t="s">
        <v>25</v>
      </c>
      <c r="B553" s="3" t="s">
        <v>37</v>
      </c>
      <c r="C553" s="3" t="s">
        <v>11</v>
      </c>
      <c r="D553" s="4">
        <v>85609</v>
      </c>
      <c r="E553" s="4">
        <v>29601</v>
      </c>
    </row>
    <row r="554" spans="1:5" x14ac:dyDescent="0.3">
      <c r="A554" s="3" t="s">
        <v>25</v>
      </c>
      <c r="B554" s="3" t="s">
        <v>37</v>
      </c>
      <c r="C554" s="3" t="s">
        <v>12</v>
      </c>
      <c r="D554" s="4">
        <v>83075</v>
      </c>
      <c r="E554" s="4">
        <v>35935</v>
      </c>
    </row>
    <row r="555" spans="1:5" x14ac:dyDescent="0.3">
      <c r="A555" s="3" t="s">
        <v>25</v>
      </c>
      <c r="B555" s="3" t="s">
        <v>37</v>
      </c>
      <c r="C555" s="3" t="s">
        <v>13</v>
      </c>
      <c r="D555" s="4">
        <v>87171</v>
      </c>
      <c r="E555" s="4">
        <v>49823</v>
      </c>
    </row>
    <row r="556" spans="1:5" x14ac:dyDescent="0.3">
      <c r="A556" s="3" t="s">
        <v>25</v>
      </c>
      <c r="B556" s="3" t="s">
        <v>38</v>
      </c>
      <c r="C556" s="3" t="s">
        <v>2</v>
      </c>
      <c r="D556" s="4">
        <v>73292</v>
      </c>
      <c r="E556" s="4">
        <v>21911</v>
      </c>
    </row>
    <row r="557" spans="1:5" x14ac:dyDescent="0.3">
      <c r="A557" s="3" t="s">
        <v>25</v>
      </c>
      <c r="B557" s="3" t="s">
        <v>38</v>
      </c>
      <c r="C557" s="3" t="s">
        <v>3</v>
      </c>
      <c r="D557" s="4">
        <v>87082</v>
      </c>
      <c r="E557" s="4">
        <v>24960</v>
      </c>
    </row>
    <row r="558" spans="1:5" x14ac:dyDescent="0.3">
      <c r="A558" s="3" t="s">
        <v>25</v>
      </c>
      <c r="B558" s="3" t="s">
        <v>38</v>
      </c>
      <c r="C558" s="3" t="s">
        <v>4</v>
      </c>
      <c r="D558" s="4">
        <v>99902</v>
      </c>
      <c r="E558" s="4">
        <v>36522</v>
      </c>
    </row>
    <row r="559" spans="1:5" x14ac:dyDescent="0.3">
      <c r="A559" s="3" t="s">
        <v>25</v>
      </c>
      <c r="B559" s="3" t="s">
        <v>38</v>
      </c>
      <c r="C559" s="3" t="s">
        <v>5</v>
      </c>
      <c r="D559" s="4">
        <v>88944</v>
      </c>
      <c r="E559" s="4">
        <v>26632</v>
      </c>
    </row>
    <row r="560" spans="1:5" x14ac:dyDescent="0.3">
      <c r="A560" s="3" t="s">
        <v>25</v>
      </c>
      <c r="B560" s="3" t="s">
        <v>38</v>
      </c>
      <c r="C560" s="3" t="s">
        <v>6</v>
      </c>
      <c r="D560" s="4">
        <v>83555</v>
      </c>
      <c r="E560" s="4">
        <v>29993</v>
      </c>
    </row>
    <row r="561" spans="1:5" x14ac:dyDescent="0.3">
      <c r="A561" s="3" t="s">
        <v>25</v>
      </c>
      <c r="B561" s="3" t="s">
        <v>38</v>
      </c>
      <c r="C561" s="3" t="s">
        <v>7</v>
      </c>
      <c r="D561" s="4">
        <v>89593</v>
      </c>
      <c r="E561" s="4">
        <v>27622</v>
      </c>
    </row>
    <row r="562" spans="1:5" x14ac:dyDescent="0.3">
      <c r="A562" s="3" t="s">
        <v>25</v>
      </c>
      <c r="B562" s="3" t="s">
        <v>38</v>
      </c>
      <c r="C562" s="3" t="s">
        <v>8</v>
      </c>
      <c r="D562" s="4">
        <v>107111</v>
      </c>
      <c r="E562" s="4">
        <v>34229</v>
      </c>
    </row>
    <row r="563" spans="1:5" x14ac:dyDescent="0.3">
      <c r="A563" s="3" t="s">
        <v>25</v>
      </c>
      <c r="B563" s="3" t="s">
        <v>38</v>
      </c>
      <c r="C563" s="3" t="s">
        <v>9</v>
      </c>
      <c r="D563" s="4">
        <v>128669</v>
      </c>
      <c r="E563" s="4">
        <v>43775</v>
      </c>
    </row>
    <row r="564" spans="1:5" x14ac:dyDescent="0.3">
      <c r="A564" s="3" t="s">
        <v>25</v>
      </c>
      <c r="B564" s="3" t="s">
        <v>38</v>
      </c>
      <c r="C564" s="3" t="s">
        <v>10</v>
      </c>
      <c r="D564" s="4">
        <v>114464</v>
      </c>
      <c r="E564" s="4">
        <v>27325</v>
      </c>
    </row>
    <row r="565" spans="1:5" x14ac:dyDescent="0.3">
      <c r="A565" s="3" t="s">
        <v>25</v>
      </c>
      <c r="B565" s="3" t="s">
        <v>38</v>
      </c>
      <c r="C565" s="3" t="s">
        <v>11</v>
      </c>
      <c r="D565" s="4">
        <v>103046</v>
      </c>
      <c r="E565" s="4">
        <v>28360</v>
      </c>
    </row>
    <row r="566" spans="1:5" x14ac:dyDescent="0.3">
      <c r="A566" s="3" t="s">
        <v>25</v>
      </c>
      <c r="B566" s="3" t="s">
        <v>38</v>
      </c>
      <c r="C566" s="3" t="s">
        <v>12</v>
      </c>
      <c r="D566" s="4">
        <v>95549</v>
      </c>
      <c r="E566" s="4">
        <v>30644</v>
      </c>
    </row>
    <row r="567" spans="1:5" x14ac:dyDescent="0.3">
      <c r="A567" s="3" t="s">
        <v>25</v>
      </c>
      <c r="B567" s="3" t="s">
        <v>38</v>
      </c>
      <c r="C567" s="3" t="s">
        <v>13</v>
      </c>
      <c r="D567" s="4">
        <v>93415</v>
      </c>
      <c r="E567" s="4">
        <v>51860</v>
      </c>
    </row>
    <row r="568" spans="1:5" x14ac:dyDescent="0.3">
      <c r="A568" s="3" t="s">
        <v>25</v>
      </c>
      <c r="B568" s="3" t="s">
        <v>36</v>
      </c>
      <c r="C568" s="3" t="s">
        <v>2</v>
      </c>
      <c r="D568" s="4">
        <v>31115</v>
      </c>
      <c r="E568" s="4">
        <v>13295</v>
      </c>
    </row>
    <row r="569" spans="1:5" x14ac:dyDescent="0.3">
      <c r="A569" s="3" t="s">
        <v>25</v>
      </c>
      <c r="B569" s="3" t="s">
        <v>36</v>
      </c>
      <c r="C569" s="3" t="s">
        <v>3</v>
      </c>
      <c r="D569" s="4">
        <v>29964</v>
      </c>
      <c r="E569" s="4">
        <v>10988</v>
      </c>
    </row>
    <row r="570" spans="1:5" x14ac:dyDescent="0.3">
      <c r="A570" s="3" t="s">
        <v>25</v>
      </c>
      <c r="B570" s="3" t="s">
        <v>36</v>
      </c>
      <c r="C570" s="3" t="s">
        <v>4</v>
      </c>
      <c r="D570" s="4">
        <v>33700</v>
      </c>
      <c r="E570" s="4">
        <v>11686</v>
      </c>
    </row>
    <row r="571" spans="1:5" x14ac:dyDescent="0.3">
      <c r="A571" s="3" t="s">
        <v>25</v>
      </c>
      <c r="B571" s="3" t="s">
        <v>36</v>
      </c>
      <c r="C571" s="3" t="s">
        <v>5</v>
      </c>
      <c r="D571" s="4">
        <v>47252</v>
      </c>
      <c r="E571" s="4">
        <v>11067</v>
      </c>
    </row>
    <row r="572" spans="1:5" x14ac:dyDescent="0.3">
      <c r="A572" s="3" t="s">
        <v>25</v>
      </c>
      <c r="B572" s="3" t="s">
        <v>36</v>
      </c>
      <c r="C572" s="3" t="s">
        <v>6</v>
      </c>
      <c r="D572" s="4">
        <v>42426</v>
      </c>
      <c r="E572" s="4">
        <v>11725</v>
      </c>
    </row>
    <row r="573" spans="1:5" x14ac:dyDescent="0.3">
      <c r="A573" s="3" t="s">
        <v>25</v>
      </c>
      <c r="B573" s="3" t="s">
        <v>36</v>
      </c>
      <c r="C573" s="3" t="s">
        <v>7</v>
      </c>
      <c r="D573" s="4">
        <v>36618</v>
      </c>
      <c r="E573" s="4">
        <v>10751</v>
      </c>
    </row>
    <row r="574" spans="1:5" x14ac:dyDescent="0.3">
      <c r="A574" s="3" t="s">
        <v>25</v>
      </c>
      <c r="B574" s="3" t="s">
        <v>36</v>
      </c>
      <c r="C574" s="3" t="s">
        <v>8</v>
      </c>
      <c r="D574" s="4">
        <v>38876</v>
      </c>
      <c r="E574" s="4">
        <v>11693</v>
      </c>
    </row>
    <row r="575" spans="1:5" x14ac:dyDescent="0.3">
      <c r="A575" s="3" t="s">
        <v>25</v>
      </c>
      <c r="B575" s="3" t="s">
        <v>36</v>
      </c>
      <c r="C575" s="3" t="s">
        <v>9</v>
      </c>
      <c r="D575" s="4">
        <v>37384</v>
      </c>
      <c r="E575" s="4">
        <v>15293</v>
      </c>
    </row>
    <row r="576" spans="1:5" x14ac:dyDescent="0.3">
      <c r="A576" s="3" t="s">
        <v>25</v>
      </c>
      <c r="B576" s="3" t="s">
        <v>36</v>
      </c>
      <c r="C576" s="3" t="s">
        <v>10</v>
      </c>
      <c r="D576" s="4">
        <v>49260</v>
      </c>
      <c r="E576" s="4">
        <v>12306</v>
      </c>
    </row>
    <row r="577" spans="1:5" x14ac:dyDescent="0.3">
      <c r="A577" s="3" t="s">
        <v>25</v>
      </c>
      <c r="B577" s="3" t="s">
        <v>36</v>
      </c>
      <c r="C577" s="3" t="s">
        <v>11</v>
      </c>
      <c r="D577" s="4">
        <v>57434</v>
      </c>
      <c r="E577" s="4">
        <v>13932</v>
      </c>
    </row>
    <row r="578" spans="1:5" x14ac:dyDescent="0.3">
      <c r="A578" s="3" t="s">
        <v>25</v>
      </c>
      <c r="B578" s="3" t="s">
        <v>36</v>
      </c>
      <c r="C578" s="3" t="s">
        <v>12</v>
      </c>
      <c r="D578" s="4">
        <v>54339</v>
      </c>
      <c r="E578" s="4">
        <v>15869</v>
      </c>
    </row>
    <row r="579" spans="1:5" x14ac:dyDescent="0.3">
      <c r="A579" s="3" t="s">
        <v>25</v>
      </c>
      <c r="B579" s="3" t="s">
        <v>36</v>
      </c>
      <c r="C579" s="3" t="s">
        <v>13</v>
      </c>
      <c r="D579" s="4">
        <v>55877</v>
      </c>
      <c r="E579" s="4">
        <v>27125</v>
      </c>
    </row>
    <row r="580" spans="1:5" x14ac:dyDescent="0.3">
      <c r="A580" s="3" t="s">
        <v>25</v>
      </c>
      <c r="B580" s="3" t="s">
        <v>35</v>
      </c>
      <c r="C580" s="3" t="s">
        <v>2</v>
      </c>
      <c r="D580" s="4">
        <v>76715</v>
      </c>
      <c r="E580" s="4">
        <v>30747</v>
      </c>
    </row>
    <row r="581" spans="1:5" x14ac:dyDescent="0.3">
      <c r="A581" s="3" t="s">
        <v>25</v>
      </c>
      <c r="B581" s="3" t="s">
        <v>35</v>
      </c>
      <c r="C581" s="3" t="s">
        <v>3</v>
      </c>
      <c r="D581" s="4">
        <v>96648</v>
      </c>
      <c r="E581" s="4">
        <v>36882</v>
      </c>
    </row>
    <row r="582" spans="1:5" x14ac:dyDescent="0.3">
      <c r="A582" s="3" t="s">
        <v>25</v>
      </c>
      <c r="B582" s="3" t="s">
        <v>35</v>
      </c>
      <c r="C582" s="3" t="s">
        <v>4</v>
      </c>
      <c r="D582" s="4">
        <v>148047</v>
      </c>
      <c r="E582" s="4">
        <v>50827</v>
      </c>
    </row>
    <row r="583" spans="1:5" x14ac:dyDescent="0.3">
      <c r="A583" s="3" t="s">
        <v>25</v>
      </c>
      <c r="B583" s="3" t="s">
        <v>35</v>
      </c>
      <c r="C583" s="3" t="s">
        <v>5</v>
      </c>
      <c r="D583" s="4">
        <v>151229</v>
      </c>
      <c r="E583" s="4">
        <v>39461</v>
      </c>
    </row>
    <row r="584" spans="1:5" x14ac:dyDescent="0.3">
      <c r="A584" s="3" t="s">
        <v>25</v>
      </c>
      <c r="B584" s="3" t="s">
        <v>35</v>
      </c>
      <c r="C584" s="3" t="s">
        <v>6</v>
      </c>
      <c r="D584" s="4">
        <v>141182</v>
      </c>
      <c r="E584" s="4">
        <v>43625</v>
      </c>
    </row>
    <row r="585" spans="1:5" x14ac:dyDescent="0.3">
      <c r="A585" s="3" t="s">
        <v>25</v>
      </c>
      <c r="B585" s="3" t="s">
        <v>35</v>
      </c>
      <c r="C585" s="3" t="s">
        <v>7</v>
      </c>
      <c r="D585" s="4">
        <v>116399</v>
      </c>
      <c r="E585" s="4">
        <v>38804</v>
      </c>
    </row>
    <row r="586" spans="1:5" x14ac:dyDescent="0.3">
      <c r="A586" s="3" t="s">
        <v>25</v>
      </c>
      <c r="B586" s="3" t="s">
        <v>35</v>
      </c>
      <c r="C586" s="3" t="s">
        <v>8</v>
      </c>
      <c r="D586" s="4">
        <v>105357</v>
      </c>
      <c r="E586" s="4">
        <v>41781</v>
      </c>
    </row>
    <row r="587" spans="1:5" x14ac:dyDescent="0.3">
      <c r="A587" s="3" t="s">
        <v>25</v>
      </c>
      <c r="B587" s="3" t="s">
        <v>35</v>
      </c>
      <c r="C587" s="3" t="s">
        <v>9</v>
      </c>
      <c r="D587" s="4">
        <v>105776</v>
      </c>
      <c r="E587" s="4">
        <v>45389</v>
      </c>
    </row>
    <row r="588" spans="1:5" x14ac:dyDescent="0.3">
      <c r="A588" s="3" t="s">
        <v>25</v>
      </c>
      <c r="B588" s="3" t="s">
        <v>35</v>
      </c>
      <c r="C588" s="3" t="s">
        <v>10</v>
      </c>
      <c r="D588" s="4">
        <v>133287</v>
      </c>
      <c r="E588" s="4">
        <v>45779</v>
      </c>
    </row>
    <row r="589" spans="1:5" x14ac:dyDescent="0.3">
      <c r="A589" s="3" t="s">
        <v>25</v>
      </c>
      <c r="B589" s="3" t="s">
        <v>35</v>
      </c>
      <c r="C589" s="3" t="s">
        <v>11</v>
      </c>
      <c r="D589" s="4">
        <v>145889</v>
      </c>
      <c r="E589" s="4">
        <v>63053</v>
      </c>
    </row>
    <row r="590" spans="1:5" x14ac:dyDescent="0.3">
      <c r="A590" s="3" t="s">
        <v>25</v>
      </c>
      <c r="B590" s="3" t="s">
        <v>35</v>
      </c>
      <c r="C590" s="3" t="s">
        <v>12</v>
      </c>
      <c r="D590" s="4">
        <v>157733</v>
      </c>
      <c r="E590" s="4">
        <v>61400</v>
      </c>
    </row>
    <row r="591" spans="1:5" x14ac:dyDescent="0.3">
      <c r="A591" s="3" t="s">
        <v>25</v>
      </c>
      <c r="B591" s="3" t="s">
        <v>35</v>
      </c>
      <c r="C591" s="3" t="s">
        <v>13</v>
      </c>
      <c r="D591" s="4">
        <v>155231</v>
      </c>
      <c r="E591" s="4">
        <v>111320</v>
      </c>
    </row>
    <row r="592" spans="1:5" x14ac:dyDescent="0.3">
      <c r="A592" s="3" t="s">
        <v>25</v>
      </c>
      <c r="B592" s="3" t="s">
        <v>34</v>
      </c>
      <c r="C592" s="3" t="s">
        <v>2</v>
      </c>
      <c r="D592" s="4">
        <v>1946</v>
      </c>
      <c r="E592" s="4">
        <v>344</v>
      </c>
    </row>
    <row r="593" spans="1:5" x14ac:dyDescent="0.3">
      <c r="A593" s="3" t="s">
        <v>25</v>
      </c>
      <c r="B593" s="3" t="s">
        <v>34</v>
      </c>
      <c r="C593" s="3" t="s">
        <v>3</v>
      </c>
      <c r="D593" s="4">
        <v>1465</v>
      </c>
      <c r="E593" s="4">
        <v>202</v>
      </c>
    </row>
    <row r="594" spans="1:5" x14ac:dyDescent="0.3">
      <c r="A594" s="3" t="s">
        <v>25</v>
      </c>
      <c r="B594" s="3" t="s">
        <v>34</v>
      </c>
      <c r="C594" s="3" t="s">
        <v>4</v>
      </c>
      <c r="D594" s="4">
        <v>1224</v>
      </c>
      <c r="E594" s="4">
        <v>132</v>
      </c>
    </row>
    <row r="595" spans="1:5" x14ac:dyDescent="0.3">
      <c r="A595" s="3" t="s">
        <v>25</v>
      </c>
      <c r="B595" s="3" t="s">
        <v>34</v>
      </c>
      <c r="C595" s="3" t="s">
        <v>5</v>
      </c>
      <c r="D595" s="4">
        <v>1163</v>
      </c>
      <c r="E595" s="4">
        <v>145</v>
      </c>
    </row>
    <row r="596" spans="1:5" x14ac:dyDescent="0.3">
      <c r="A596" s="3" t="s">
        <v>25</v>
      </c>
      <c r="B596" s="3" t="s">
        <v>34</v>
      </c>
      <c r="C596" s="3" t="s">
        <v>6</v>
      </c>
      <c r="D596" s="4">
        <v>1009</v>
      </c>
      <c r="E596" s="4">
        <v>177</v>
      </c>
    </row>
    <row r="597" spans="1:5" x14ac:dyDescent="0.3">
      <c r="A597" s="3" t="s">
        <v>25</v>
      </c>
      <c r="B597" s="3" t="s">
        <v>34</v>
      </c>
      <c r="C597" s="3" t="s">
        <v>7</v>
      </c>
      <c r="D597" s="4">
        <v>7775</v>
      </c>
      <c r="E597" s="4">
        <v>933</v>
      </c>
    </row>
    <row r="598" spans="1:5" x14ac:dyDescent="0.3">
      <c r="A598" s="3" t="s">
        <v>25</v>
      </c>
      <c r="B598" s="3" t="s">
        <v>34</v>
      </c>
      <c r="C598" s="3" t="s">
        <v>8</v>
      </c>
      <c r="D598" s="4">
        <v>15697</v>
      </c>
      <c r="E598" s="4">
        <v>2738</v>
      </c>
    </row>
    <row r="599" spans="1:5" x14ac:dyDescent="0.3">
      <c r="A599" s="3" t="s">
        <v>25</v>
      </c>
      <c r="B599" s="3" t="s">
        <v>34</v>
      </c>
      <c r="C599" s="3" t="s">
        <v>9</v>
      </c>
      <c r="D599" s="4">
        <v>13507</v>
      </c>
      <c r="E599" s="4">
        <v>7246</v>
      </c>
    </row>
    <row r="600" spans="1:5" x14ac:dyDescent="0.3">
      <c r="A600" s="3" t="s">
        <v>25</v>
      </c>
      <c r="B600" s="3" t="s">
        <v>34</v>
      </c>
      <c r="C600" s="3" t="s">
        <v>10</v>
      </c>
      <c r="D600" s="4">
        <v>6254</v>
      </c>
      <c r="E600" s="4">
        <v>1128</v>
      </c>
    </row>
    <row r="601" spans="1:5" x14ac:dyDescent="0.3">
      <c r="A601" s="3" t="s">
        <v>25</v>
      </c>
      <c r="B601" s="3" t="s">
        <v>34</v>
      </c>
      <c r="C601" s="3" t="s">
        <v>11</v>
      </c>
      <c r="D601" s="4">
        <v>3912</v>
      </c>
      <c r="E601" s="4">
        <v>800</v>
      </c>
    </row>
    <row r="602" spans="1:5" x14ac:dyDescent="0.3">
      <c r="A602" s="3" t="s">
        <v>25</v>
      </c>
      <c r="B602" s="3" t="s">
        <v>34</v>
      </c>
      <c r="C602" s="3" t="s">
        <v>12</v>
      </c>
      <c r="D602" s="4">
        <v>4721</v>
      </c>
      <c r="E602" s="4">
        <v>1422</v>
      </c>
    </row>
    <row r="603" spans="1:5" x14ac:dyDescent="0.3">
      <c r="A603" s="3" t="s">
        <v>25</v>
      </c>
      <c r="B603" s="3" t="s">
        <v>34</v>
      </c>
      <c r="C603" s="3" t="s">
        <v>13</v>
      </c>
      <c r="D603" s="4">
        <v>3382</v>
      </c>
      <c r="E603" s="4">
        <v>809</v>
      </c>
    </row>
    <row r="604" spans="1:5" x14ac:dyDescent="0.3">
      <c r="A604" s="3" t="s">
        <v>26</v>
      </c>
      <c r="B604" s="3" t="s">
        <v>37</v>
      </c>
      <c r="C604" s="3" t="s">
        <v>2</v>
      </c>
      <c r="D604" s="4">
        <v>57979</v>
      </c>
      <c r="E604" s="4">
        <v>18869</v>
      </c>
    </row>
    <row r="605" spans="1:5" x14ac:dyDescent="0.3">
      <c r="A605" s="3" t="s">
        <v>26</v>
      </c>
      <c r="B605" s="3" t="s">
        <v>37</v>
      </c>
      <c r="C605" s="3" t="s">
        <v>3</v>
      </c>
      <c r="D605" s="4">
        <v>64531</v>
      </c>
      <c r="E605" s="4">
        <v>22217</v>
      </c>
    </row>
    <row r="606" spans="1:5" x14ac:dyDescent="0.3">
      <c r="A606" s="3" t="s">
        <v>26</v>
      </c>
      <c r="B606" s="3" t="s">
        <v>37</v>
      </c>
      <c r="C606" s="3" t="s">
        <v>4</v>
      </c>
      <c r="D606" s="4">
        <v>75227</v>
      </c>
      <c r="E606" s="4">
        <v>25616</v>
      </c>
    </row>
    <row r="607" spans="1:5" x14ac:dyDescent="0.3">
      <c r="A607" s="3" t="s">
        <v>26</v>
      </c>
      <c r="B607" s="3" t="s">
        <v>37</v>
      </c>
      <c r="C607" s="3" t="s">
        <v>5</v>
      </c>
      <c r="D607" s="4">
        <v>70366</v>
      </c>
      <c r="E607" s="4">
        <v>21139</v>
      </c>
    </row>
    <row r="608" spans="1:5" x14ac:dyDescent="0.3">
      <c r="A608" s="3" t="s">
        <v>26</v>
      </c>
      <c r="B608" s="3" t="s">
        <v>37</v>
      </c>
      <c r="C608" s="3" t="s">
        <v>6</v>
      </c>
      <c r="D608" s="4">
        <v>64532</v>
      </c>
      <c r="E608" s="4">
        <v>22631</v>
      </c>
    </row>
    <row r="609" spans="1:5" x14ac:dyDescent="0.3">
      <c r="A609" s="3" t="s">
        <v>26</v>
      </c>
      <c r="B609" s="3" t="s">
        <v>37</v>
      </c>
      <c r="C609" s="3" t="s">
        <v>7</v>
      </c>
      <c r="D609" s="4">
        <v>75404</v>
      </c>
      <c r="E609" s="4">
        <v>26169</v>
      </c>
    </row>
    <row r="610" spans="1:5" x14ac:dyDescent="0.3">
      <c r="A610" s="3" t="s">
        <v>26</v>
      </c>
      <c r="B610" s="3" t="s">
        <v>37</v>
      </c>
      <c r="C610" s="3" t="s">
        <v>8</v>
      </c>
      <c r="D610" s="4">
        <v>69150</v>
      </c>
      <c r="E610" s="4">
        <v>22833</v>
      </c>
    </row>
    <row r="611" spans="1:5" x14ac:dyDescent="0.3">
      <c r="A611" s="3" t="s">
        <v>26</v>
      </c>
      <c r="B611" s="3" t="s">
        <v>37</v>
      </c>
      <c r="C611" s="3" t="s">
        <v>9</v>
      </c>
      <c r="D611" s="4">
        <v>73580</v>
      </c>
      <c r="E611" s="4">
        <v>30008</v>
      </c>
    </row>
    <row r="612" spans="1:5" x14ac:dyDescent="0.3">
      <c r="A612" s="3" t="s">
        <v>26</v>
      </c>
      <c r="B612" s="3" t="s">
        <v>37</v>
      </c>
      <c r="C612" s="3" t="s">
        <v>10</v>
      </c>
      <c r="D612" s="4">
        <v>75154</v>
      </c>
      <c r="E612" s="4">
        <v>22211</v>
      </c>
    </row>
    <row r="613" spans="1:5" x14ac:dyDescent="0.3">
      <c r="A613" s="3" t="s">
        <v>26</v>
      </c>
      <c r="B613" s="3" t="s">
        <v>37</v>
      </c>
      <c r="C613" s="3" t="s">
        <v>11</v>
      </c>
      <c r="D613" s="4">
        <v>68318</v>
      </c>
      <c r="E613" s="4">
        <v>21130</v>
      </c>
    </row>
    <row r="614" spans="1:5" x14ac:dyDescent="0.3">
      <c r="A614" s="3" t="s">
        <v>26</v>
      </c>
      <c r="B614" s="3" t="s">
        <v>37</v>
      </c>
      <c r="C614" s="3" t="s">
        <v>12</v>
      </c>
      <c r="D614" s="4">
        <v>62350</v>
      </c>
      <c r="E614" s="4">
        <v>24839</v>
      </c>
    </row>
    <row r="615" spans="1:5" x14ac:dyDescent="0.3">
      <c r="A615" s="3" t="s">
        <v>26</v>
      </c>
      <c r="B615" s="3" t="s">
        <v>37</v>
      </c>
      <c r="C615" s="3" t="s">
        <v>13</v>
      </c>
      <c r="D615" s="4">
        <v>64140</v>
      </c>
      <c r="E615" s="4">
        <v>36583</v>
      </c>
    </row>
    <row r="616" spans="1:5" x14ac:dyDescent="0.3">
      <c r="A616" s="3" t="s">
        <v>26</v>
      </c>
      <c r="B616" s="3" t="s">
        <v>38</v>
      </c>
      <c r="C616" s="3" t="s">
        <v>2</v>
      </c>
      <c r="D616" s="4">
        <v>59014</v>
      </c>
      <c r="E616" s="4">
        <v>14330</v>
      </c>
    </row>
    <row r="617" spans="1:5" x14ac:dyDescent="0.3">
      <c r="A617" s="3" t="s">
        <v>26</v>
      </c>
      <c r="B617" s="3" t="s">
        <v>38</v>
      </c>
      <c r="C617" s="3" t="s">
        <v>3</v>
      </c>
      <c r="D617" s="4">
        <v>66858</v>
      </c>
      <c r="E617" s="4">
        <v>17345</v>
      </c>
    </row>
    <row r="618" spans="1:5" x14ac:dyDescent="0.3">
      <c r="A618" s="3" t="s">
        <v>26</v>
      </c>
      <c r="B618" s="3" t="s">
        <v>38</v>
      </c>
      <c r="C618" s="3" t="s">
        <v>4</v>
      </c>
      <c r="D618" s="4">
        <v>77356</v>
      </c>
      <c r="E618" s="4">
        <v>25001</v>
      </c>
    </row>
    <row r="619" spans="1:5" x14ac:dyDescent="0.3">
      <c r="A619" s="3" t="s">
        <v>26</v>
      </c>
      <c r="B619" s="3" t="s">
        <v>38</v>
      </c>
      <c r="C619" s="3" t="s">
        <v>5</v>
      </c>
      <c r="D619" s="4">
        <v>70946</v>
      </c>
      <c r="E619" s="4">
        <v>19094</v>
      </c>
    </row>
    <row r="620" spans="1:5" x14ac:dyDescent="0.3">
      <c r="A620" s="3" t="s">
        <v>26</v>
      </c>
      <c r="B620" s="3" t="s">
        <v>38</v>
      </c>
      <c r="C620" s="3" t="s">
        <v>6</v>
      </c>
      <c r="D620" s="4">
        <v>66065</v>
      </c>
      <c r="E620" s="4">
        <v>20982</v>
      </c>
    </row>
    <row r="621" spans="1:5" x14ac:dyDescent="0.3">
      <c r="A621" s="3" t="s">
        <v>26</v>
      </c>
      <c r="B621" s="3" t="s">
        <v>38</v>
      </c>
      <c r="C621" s="3" t="s">
        <v>7</v>
      </c>
      <c r="D621" s="4">
        <v>63642</v>
      </c>
      <c r="E621" s="4">
        <v>19837</v>
      </c>
    </row>
    <row r="622" spans="1:5" x14ac:dyDescent="0.3">
      <c r="A622" s="3" t="s">
        <v>26</v>
      </c>
      <c r="B622" s="3" t="s">
        <v>38</v>
      </c>
      <c r="C622" s="3" t="s">
        <v>8</v>
      </c>
      <c r="D622" s="4">
        <v>75406</v>
      </c>
      <c r="E622" s="4">
        <v>23618</v>
      </c>
    </row>
    <row r="623" spans="1:5" x14ac:dyDescent="0.3">
      <c r="A623" s="3" t="s">
        <v>26</v>
      </c>
      <c r="B623" s="3" t="s">
        <v>38</v>
      </c>
      <c r="C623" s="3" t="s">
        <v>9</v>
      </c>
      <c r="D623" s="4">
        <v>92752</v>
      </c>
      <c r="E623" s="4">
        <v>30729</v>
      </c>
    </row>
    <row r="624" spans="1:5" x14ac:dyDescent="0.3">
      <c r="A624" s="3" t="s">
        <v>26</v>
      </c>
      <c r="B624" s="3" t="s">
        <v>38</v>
      </c>
      <c r="C624" s="3" t="s">
        <v>10</v>
      </c>
      <c r="D624" s="4">
        <v>85959</v>
      </c>
      <c r="E624" s="4">
        <v>18455</v>
      </c>
    </row>
    <row r="625" spans="1:5" x14ac:dyDescent="0.3">
      <c r="A625" s="3" t="s">
        <v>26</v>
      </c>
      <c r="B625" s="3" t="s">
        <v>38</v>
      </c>
      <c r="C625" s="3" t="s">
        <v>11</v>
      </c>
      <c r="D625" s="4">
        <v>79241</v>
      </c>
      <c r="E625" s="4">
        <v>20313</v>
      </c>
    </row>
    <row r="626" spans="1:5" x14ac:dyDescent="0.3">
      <c r="A626" s="3" t="s">
        <v>26</v>
      </c>
      <c r="B626" s="3" t="s">
        <v>38</v>
      </c>
      <c r="C626" s="3" t="s">
        <v>12</v>
      </c>
      <c r="D626" s="4">
        <v>71137</v>
      </c>
      <c r="E626" s="4">
        <v>22136</v>
      </c>
    </row>
    <row r="627" spans="1:5" x14ac:dyDescent="0.3">
      <c r="A627" s="3" t="s">
        <v>26</v>
      </c>
      <c r="B627" s="3" t="s">
        <v>38</v>
      </c>
      <c r="C627" s="3" t="s">
        <v>13</v>
      </c>
      <c r="D627" s="4">
        <v>66974</v>
      </c>
      <c r="E627" s="4">
        <v>37066</v>
      </c>
    </row>
    <row r="628" spans="1:5" x14ac:dyDescent="0.3">
      <c r="A628" s="3" t="s">
        <v>26</v>
      </c>
      <c r="B628" s="3" t="s">
        <v>36</v>
      </c>
      <c r="C628" s="3" t="s">
        <v>2</v>
      </c>
      <c r="D628" s="4">
        <v>23658</v>
      </c>
      <c r="E628" s="4">
        <v>11747</v>
      </c>
    </row>
    <row r="629" spans="1:5" x14ac:dyDescent="0.3">
      <c r="A629" s="3" t="s">
        <v>26</v>
      </c>
      <c r="B629" s="3" t="s">
        <v>36</v>
      </c>
      <c r="C629" s="3" t="s">
        <v>3</v>
      </c>
      <c r="D629" s="4">
        <v>21857</v>
      </c>
      <c r="E629" s="4">
        <v>9112</v>
      </c>
    </row>
    <row r="630" spans="1:5" x14ac:dyDescent="0.3">
      <c r="A630" s="3" t="s">
        <v>26</v>
      </c>
      <c r="B630" s="3" t="s">
        <v>36</v>
      </c>
      <c r="C630" s="3" t="s">
        <v>4</v>
      </c>
      <c r="D630" s="4">
        <v>24664</v>
      </c>
      <c r="E630" s="4">
        <v>10266</v>
      </c>
    </row>
    <row r="631" spans="1:5" x14ac:dyDescent="0.3">
      <c r="A631" s="3" t="s">
        <v>26</v>
      </c>
      <c r="B631" s="3" t="s">
        <v>36</v>
      </c>
      <c r="C631" s="3" t="s">
        <v>5</v>
      </c>
      <c r="D631" s="4">
        <v>34908</v>
      </c>
      <c r="E631" s="4">
        <v>10438</v>
      </c>
    </row>
    <row r="632" spans="1:5" x14ac:dyDescent="0.3">
      <c r="A632" s="3" t="s">
        <v>26</v>
      </c>
      <c r="B632" s="3" t="s">
        <v>36</v>
      </c>
      <c r="C632" s="3" t="s">
        <v>6</v>
      </c>
      <c r="D632" s="4">
        <v>31834</v>
      </c>
      <c r="E632" s="4">
        <v>12151</v>
      </c>
    </row>
    <row r="633" spans="1:5" x14ac:dyDescent="0.3">
      <c r="A633" s="3" t="s">
        <v>26</v>
      </c>
      <c r="B633" s="3" t="s">
        <v>36</v>
      </c>
      <c r="C633" s="3" t="s">
        <v>7</v>
      </c>
      <c r="D633" s="4">
        <v>27663</v>
      </c>
      <c r="E633" s="4">
        <v>12788</v>
      </c>
    </row>
    <row r="634" spans="1:5" x14ac:dyDescent="0.3">
      <c r="A634" s="3" t="s">
        <v>26</v>
      </c>
      <c r="B634" s="3" t="s">
        <v>36</v>
      </c>
      <c r="C634" s="3" t="s">
        <v>8</v>
      </c>
      <c r="D634" s="4">
        <v>29335</v>
      </c>
      <c r="E634" s="4">
        <v>12907</v>
      </c>
    </row>
    <row r="635" spans="1:5" x14ac:dyDescent="0.3">
      <c r="A635" s="3" t="s">
        <v>26</v>
      </c>
      <c r="B635" s="3" t="s">
        <v>36</v>
      </c>
      <c r="C635" s="3" t="s">
        <v>9</v>
      </c>
      <c r="D635" s="4">
        <v>30638</v>
      </c>
      <c r="E635" s="4">
        <v>15320</v>
      </c>
    </row>
    <row r="636" spans="1:5" x14ac:dyDescent="0.3">
      <c r="A636" s="3" t="s">
        <v>26</v>
      </c>
      <c r="B636" s="3" t="s">
        <v>36</v>
      </c>
      <c r="C636" s="3" t="s">
        <v>10</v>
      </c>
      <c r="D636" s="4">
        <v>40560</v>
      </c>
      <c r="E636" s="4">
        <v>13229</v>
      </c>
    </row>
    <row r="637" spans="1:5" x14ac:dyDescent="0.3">
      <c r="A637" s="3" t="s">
        <v>26</v>
      </c>
      <c r="B637" s="3" t="s">
        <v>36</v>
      </c>
      <c r="C637" s="3" t="s">
        <v>11</v>
      </c>
      <c r="D637" s="4">
        <v>54656</v>
      </c>
      <c r="E637" s="4">
        <v>14938</v>
      </c>
    </row>
    <row r="638" spans="1:5" x14ac:dyDescent="0.3">
      <c r="A638" s="3" t="s">
        <v>26</v>
      </c>
      <c r="B638" s="3" t="s">
        <v>36</v>
      </c>
      <c r="C638" s="3" t="s">
        <v>12</v>
      </c>
      <c r="D638" s="4">
        <v>50222</v>
      </c>
      <c r="E638" s="4">
        <v>17644</v>
      </c>
    </row>
    <row r="639" spans="1:5" x14ac:dyDescent="0.3">
      <c r="A639" s="3" t="s">
        <v>26</v>
      </c>
      <c r="B639" s="3" t="s">
        <v>36</v>
      </c>
      <c r="C639" s="3" t="s">
        <v>13</v>
      </c>
      <c r="D639" s="4">
        <v>51309</v>
      </c>
      <c r="E639" s="4">
        <v>28273</v>
      </c>
    </row>
    <row r="640" spans="1:5" x14ac:dyDescent="0.3">
      <c r="A640" s="3" t="s">
        <v>26</v>
      </c>
      <c r="B640" s="3" t="s">
        <v>35</v>
      </c>
      <c r="C640" s="3" t="s">
        <v>2</v>
      </c>
      <c r="D640" s="4">
        <v>72663</v>
      </c>
      <c r="E640" s="4">
        <v>30647</v>
      </c>
    </row>
    <row r="641" spans="1:5" x14ac:dyDescent="0.3">
      <c r="A641" s="3" t="s">
        <v>26</v>
      </c>
      <c r="B641" s="3" t="s">
        <v>35</v>
      </c>
      <c r="C641" s="3" t="s">
        <v>3</v>
      </c>
      <c r="D641" s="4">
        <v>93872</v>
      </c>
      <c r="E641" s="4">
        <v>37866</v>
      </c>
    </row>
    <row r="642" spans="1:5" x14ac:dyDescent="0.3">
      <c r="A642" s="3" t="s">
        <v>26</v>
      </c>
      <c r="B642" s="3" t="s">
        <v>35</v>
      </c>
      <c r="C642" s="3" t="s">
        <v>4</v>
      </c>
      <c r="D642" s="4">
        <v>138689</v>
      </c>
      <c r="E642" s="4">
        <v>51376</v>
      </c>
    </row>
    <row r="643" spans="1:5" x14ac:dyDescent="0.3">
      <c r="A643" s="3" t="s">
        <v>26</v>
      </c>
      <c r="B643" s="3" t="s">
        <v>35</v>
      </c>
      <c r="C643" s="3" t="s">
        <v>5</v>
      </c>
      <c r="D643" s="4">
        <v>135611</v>
      </c>
      <c r="E643" s="4">
        <v>37992</v>
      </c>
    </row>
    <row r="644" spans="1:5" x14ac:dyDescent="0.3">
      <c r="A644" s="3" t="s">
        <v>26</v>
      </c>
      <c r="B644" s="3" t="s">
        <v>35</v>
      </c>
      <c r="C644" s="3" t="s">
        <v>6</v>
      </c>
      <c r="D644" s="4">
        <v>128230</v>
      </c>
      <c r="E644" s="4">
        <v>43164</v>
      </c>
    </row>
    <row r="645" spans="1:5" x14ac:dyDescent="0.3">
      <c r="A645" s="3" t="s">
        <v>26</v>
      </c>
      <c r="B645" s="3" t="s">
        <v>35</v>
      </c>
      <c r="C645" s="3" t="s">
        <v>7</v>
      </c>
      <c r="D645" s="4">
        <v>102387</v>
      </c>
      <c r="E645" s="4">
        <v>38193</v>
      </c>
    </row>
    <row r="646" spans="1:5" x14ac:dyDescent="0.3">
      <c r="A646" s="3" t="s">
        <v>26</v>
      </c>
      <c r="B646" s="3" t="s">
        <v>35</v>
      </c>
      <c r="C646" s="3" t="s">
        <v>8</v>
      </c>
      <c r="D646" s="4">
        <v>89297</v>
      </c>
      <c r="E646" s="4">
        <v>39882</v>
      </c>
    </row>
    <row r="647" spans="1:5" x14ac:dyDescent="0.3">
      <c r="A647" s="3" t="s">
        <v>26</v>
      </c>
      <c r="B647" s="3" t="s">
        <v>35</v>
      </c>
      <c r="C647" s="3" t="s">
        <v>9</v>
      </c>
      <c r="D647" s="4">
        <v>93647</v>
      </c>
      <c r="E647" s="4">
        <v>45881</v>
      </c>
    </row>
    <row r="648" spans="1:5" x14ac:dyDescent="0.3">
      <c r="A648" s="3" t="s">
        <v>26</v>
      </c>
      <c r="B648" s="3" t="s">
        <v>35</v>
      </c>
      <c r="C648" s="3" t="s">
        <v>10</v>
      </c>
      <c r="D648" s="4">
        <v>113700</v>
      </c>
      <c r="E648" s="4">
        <v>46302</v>
      </c>
    </row>
    <row r="649" spans="1:5" x14ac:dyDescent="0.3">
      <c r="A649" s="3" t="s">
        <v>26</v>
      </c>
      <c r="B649" s="3" t="s">
        <v>35</v>
      </c>
      <c r="C649" s="3" t="s">
        <v>11</v>
      </c>
      <c r="D649" s="4">
        <v>135401</v>
      </c>
      <c r="E649" s="4">
        <v>64401</v>
      </c>
    </row>
    <row r="650" spans="1:5" x14ac:dyDescent="0.3">
      <c r="A650" s="3" t="s">
        <v>26</v>
      </c>
      <c r="B650" s="3" t="s">
        <v>35</v>
      </c>
      <c r="C650" s="3" t="s">
        <v>12</v>
      </c>
      <c r="D650" s="4">
        <v>147850</v>
      </c>
      <c r="E650" s="4">
        <v>66021</v>
      </c>
    </row>
    <row r="651" spans="1:5" x14ac:dyDescent="0.3">
      <c r="A651" s="3" t="s">
        <v>26</v>
      </c>
      <c r="B651" s="3" t="s">
        <v>35</v>
      </c>
      <c r="C651" s="3" t="s">
        <v>13</v>
      </c>
      <c r="D651" s="4">
        <v>139333</v>
      </c>
      <c r="E651" s="4">
        <v>127316</v>
      </c>
    </row>
    <row r="652" spans="1:5" x14ac:dyDescent="0.3">
      <c r="A652" s="3" t="s">
        <v>26</v>
      </c>
      <c r="B652" s="3" t="s">
        <v>34</v>
      </c>
      <c r="C652" s="3" t="s">
        <v>2</v>
      </c>
      <c r="D652" s="4">
        <v>1391</v>
      </c>
      <c r="E652" s="4">
        <v>330</v>
      </c>
    </row>
    <row r="653" spans="1:5" x14ac:dyDescent="0.3">
      <c r="A653" s="3" t="s">
        <v>26</v>
      </c>
      <c r="B653" s="3" t="s">
        <v>34</v>
      </c>
      <c r="C653" s="3" t="s">
        <v>3</v>
      </c>
      <c r="D653" s="4">
        <v>968</v>
      </c>
      <c r="E653" s="4">
        <v>171</v>
      </c>
    </row>
    <row r="654" spans="1:5" x14ac:dyDescent="0.3">
      <c r="A654" s="3" t="s">
        <v>26</v>
      </c>
      <c r="B654" s="3" t="s">
        <v>34</v>
      </c>
      <c r="C654" s="3" t="s">
        <v>4</v>
      </c>
      <c r="D654" s="4">
        <v>828</v>
      </c>
      <c r="E654" s="4">
        <v>123</v>
      </c>
    </row>
    <row r="655" spans="1:5" x14ac:dyDescent="0.3">
      <c r="A655" s="3" t="s">
        <v>26</v>
      </c>
      <c r="B655" s="3" t="s">
        <v>34</v>
      </c>
      <c r="C655" s="3" t="s">
        <v>5</v>
      </c>
      <c r="D655" s="4">
        <v>764</v>
      </c>
      <c r="E655" s="4">
        <v>82</v>
      </c>
    </row>
    <row r="656" spans="1:5" x14ac:dyDescent="0.3">
      <c r="A656" s="3" t="s">
        <v>26</v>
      </c>
      <c r="B656" s="3" t="s">
        <v>34</v>
      </c>
      <c r="C656" s="3" t="s">
        <v>6</v>
      </c>
      <c r="D656" s="4">
        <v>643</v>
      </c>
      <c r="E656" s="4">
        <v>144</v>
      </c>
    </row>
    <row r="657" spans="1:5" x14ac:dyDescent="0.3">
      <c r="A657" s="3" t="s">
        <v>26</v>
      </c>
      <c r="B657" s="3" t="s">
        <v>34</v>
      </c>
      <c r="C657" s="3" t="s">
        <v>7</v>
      </c>
      <c r="D657" s="4">
        <v>5723</v>
      </c>
      <c r="E657" s="4">
        <v>826</v>
      </c>
    </row>
    <row r="658" spans="1:5" x14ac:dyDescent="0.3">
      <c r="A658" s="3" t="s">
        <v>26</v>
      </c>
      <c r="B658" s="3" t="s">
        <v>34</v>
      </c>
      <c r="C658" s="3" t="s">
        <v>8</v>
      </c>
      <c r="D658" s="4">
        <v>10869</v>
      </c>
      <c r="E658" s="4">
        <v>2008</v>
      </c>
    </row>
    <row r="659" spans="1:5" x14ac:dyDescent="0.3">
      <c r="A659" s="3" t="s">
        <v>26</v>
      </c>
      <c r="B659" s="3" t="s">
        <v>34</v>
      </c>
      <c r="C659" s="3" t="s">
        <v>9</v>
      </c>
      <c r="D659" s="4">
        <v>9355</v>
      </c>
      <c r="E659" s="4">
        <v>5133</v>
      </c>
    </row>
    <row r="660" spans="1:5" x14ac:dyDescent="0.3">
      <c r="A660" s="3" t="s">
        <v>26</v>
      </c>
      <c r="B660" s="3" t="s">
        <v>34</v>
      </c>
      <c r="C660" s="3" t="s">
        <v>10</v>
      </c>
      <c r="D660" s="4">
        <v>4497</v>
      </c>
      <c r="E660" s="4">
        <v>493</v>
      </c>
    </row>
    <row r="661" spans="1:5" x14ac:dyDescent="0.3">
      <c r="A661" s="3" t="s">
        <v>26</v>
      </c>
      <c r="B661" s="3" t="s">
        <v>34</v>
      </c>
      <c r="C661" s="3" t="s">
        <v>11</v>
      </c>
      <c r="D661" s="4">
        <v>3290</v>
      </c>
      <c r="E661" s="4">
        <v>671</v>
      </c>
    </row>
    <row r="662" spans="1:5" x14ac:dyDescent="0.3">
      <c r="A662" s="3" t="s">
        <v>26</v>
      </c>
      <c r="B662" s="3" t="s">
        <v>34</v>
      </c>
      <c r="C662" s="3" t="s">
        <v>12</v>
      </c>
      <c r="D662" s="4">
        <v>3954</v>
      </c>
      <c r="E662" s="4">
        <v>1279</v>
      </c>
    </row>
    <row r="663" spans="1:5" x14ac:dyDescent="0.3">
      <c r="A663" s="3" t="s">
        <v>26</v>
      </c>
      <c r="B663" s="3" t="s">
        <v>34</v>
      </c>
      <c r="C663" s="3" t="s">
        <v>13</v>
      </c>
      <c r="D663" s="4">
        <v>2733</v>
      </c>
      <c r="E663" s="4">
        <v>746</v>
      </c>
    </row>
    <row r="664" spans="1:5" x14ac:dyDescent="0.3">
      <c r="A664" s="3" t="s">
        <v>27</v>
      </c>
      <c r="B664" s="3" t="s">
        <v>37</v>
      </c>
      <c r="C664" s="3" t="s">
        <v>2</v>
      </c>
      <c r="D664" s="4">
        <v>141716</v>
      </c>
      <c r="E664" s="4">
        <v>81106</v>
      </c>
    </row>
    <row r="665" spans="1:5" x14ac:dyDescent="0.3">
      <c r="A665" s="3" t="s">
        <v>27</v>
      </c>
      <c r="B665" s="3" t="s">
        <v>37</v>
      </c>
      <c r="C665" s="3" t="s">
        <v>3</v>
      </c>
      <c r="D665" s="4">
        <v>179023</v>
      </c>
      <c r="E665" s="4">
        <v>99226</v>
      </c>
    </row>
    <row r="666" spans="1:5" x14ac:dyDescent="0.3">
      <c r="A666" s="3" t="s">
        <v>27</v>
      </c>
      <c r="B666" s="3" t="s">
        <v>37</v>
      </c>
      <c r="C666" s="3" t="s">
        <v>4</v>
      </c>
      <c r="D666" s="4">
        <v>207976</v>
      </c>
      <c r="E666" s="4">
        <v>109244</v>
      </c>
    </row>
    <row r="667" spans="1:5" x14ac:dyDescent="0.3">
      <c r="A667" s="3" t="s">
        <v>27</v>
      </c>
      <c r="B667" s="3" t="s">
        <v>37</v>
      </c>
      <c r="C667" s="3" t="s">
        <v>5</v>
      </c>
      <c r="D667" s="4">
        <v>185211</v>
      </c>
      <c r="E667" s="4">
        <v>88405</v>
      </c>
    </row>
    <row r="668" spans="1:5" x14ac:dyDescent="0.3">
      <c r="A668" s="3" t="s">
        <v>27</v>
      </c>
      <c r="B668" s="3" t="s">
        <v>37</v>
      </c>
      <c r="C668" s="3" t="s">
        <v>6</v>
      </c>
      <c r="D668" s="4">
        <v>173786</v>
      </c>
      <c r="E668" s="4">
        <v>97304</v>
      </c>
    </row>
    <row r="669" spans="1:5" x14ac:dyDescent="0.3">
      <c r="A669" s="3" t="s">
        <v>27</v>
      </c>
      <c r="B669" s="3" t="s">
        <v>37</v>
      </c>
      <c r="C669" s="3" t="s">
        <v>7</v>
      </c>
      <c r="D669" s="4">
        <v>212862</v>
      </c>
      <c r="E669" s="4">
        <v>110483</v>
      </c>
    </row>
    <row r="670" spans="1:5" x14ac:dyDescent="0.3">
      <c r="A670" s="3" t="s">
        <v>27</v>
      </c>
      <c r="B670" s="3" t="s">
        <v>37</v>
      </c>
      <c r="C670" s="3" t="s">
        <v>8</v>
      </c>
      <c r="D670" s="4">
        <v>181523</v>
      </c>
      <c r="E670" s="4">
        <v>95265</v>
      </c>
    </row>
    <row r="671" spans="1:5" x14ac:dyDescent="0.3">
      <c r="A671" s="3" t="s">
        <v>27</v>
      </c>
      <c r="B671" s="3" t="s">
        <v>37</v>
      </c>
      <c r="C671" s="3" t="s">
        <v>9</v>
      </c>
      <c r="D671" s="4">
        <v>202703</v>
      </c>
      <c r="E671" s="4">
        <v>121213</v>
      </c>
    </row>
    <row r="672" spans="1:5" x14ac:dyDescent="0.3">
      <c r="A672" s="3" t="s">
        <v>27</v>
      </c>
      <c r="B672" s="3" t="s">
        <v>37</v>
      </c>
      <c r="C672" s="3" t="s">
        <v>10</v>
      </c>
      <c r="D672" s="4">
        <v>211881</v>
      </c>
      <c r="E672" s="4">
        <v>96251</v>
      </c>
    </row>
    <row r="673" spans="1:5" x14ac:dyDescent="0.3">
      <c r="A673" s="3" t="s">
        <v>27</v>
      </c>
      <c r="B673" s="3" t="s">
        <v>37</v>
      </c>
      <c r="C673" s="3" t="s">
        <v>11</v>
      </c>
      <c r="D673" s="4">
        <v>181832</v>
      </c>
      <c r="E673" s="4">
        <v>93063</v>
      </c>
    </row>
    <row r="674" spans="1:5" x14ac:dyDescent="0.3">
      <c r="A674" s="3" t="s">
        <v>27</v>
      </c>
      <c r="B674" s="3" t="s">
        <v>37</v>
      </c>
      <c r="C674" s="3" t="s">
        <v>12</v>
      </c>
      <c r="D674" s="4">
        <v>167670</v>
      </c>
      <c r="E674" s="4">
        <v>103261</v>
      </c>
    </row>
    <row r="675" spans="1:5" x14ac:dyDescent="0.3">
      <c r="A675" s="3" t="s">
        <v>27</v>
      </c>
      <c r="B675" s="3" t="s">
        <v>37</v>
      </c>
      <c r="C675" s="3" t="s">
        <v>13</v>
      </c>
      <c r="D675" s="4">
        <v>185661</v>
      </c>
      <c r="E675" s="4">
        <v>137449</v>
      </c>
    </row>
    <row r="676" spans="1:5" x14ac:dyDescent="0.3">
      <c r="A676" s="3" t="s">
        <v>27</v>
      </c>
      <c r="B676" s="3" t="s">
        <v>38</v>
      </c>
      <c r="C676" s="3" t="s">
        <v>2</v>
      </c>
      <c r="D676" s="4">
        <v>116123</v>
      </c>
      <c r="E676" s="4">
        <v>66198</v>
      </c>
    </row>
    <row r="677" spans="1:5" x14ac:dyDescent="0.3">
      <c r="A677" s="3" t="s">
        <v>27</v>
      </c>
      <c r="B677" s="3" t="s">
        <v>38</v>
      </c>
      <c r="C677" s="3" t="s">
        <v>3</v>
      </c>
      <c r="D677" s="4">
        <v>156281</v>
      </c>
      <c r="E677" s="4">
        <v>76993</v>
      </c>
    </row>
    <row r="678" spans="1:5" x14ac:dyDescent="0.3">
      <c r="A678" s="3" t="s">
        <v>27</v>
      </c>
      <c r="B678" s="3" t="s">
        <v>38</v>
      </c>
      <c r="C678" s="3" t="s">
        <v>4</v>
      </c>
      <c r="D678" s="4">
        <v>198621</v>
      </c>
      <c r="E678" s="4">
        <v>98488</v>
      </c>
    </row>
    <row r="679" spans="1:5" x14ac:dyDescent="0.3">
      <c r="A679" s="3" t="s">
        <v>27</v>
      </c>
      <c r="B679" s="3" t="s">
        <v>38</v>
      </c>
      <c r="C679" s="3" t="s">
        <v>5</v>
      </c>
      <c r="D679" s="4">
        <v>179969</v>
      </c>
      <c r="E679" s="4">
        <v>77588</v>
      </c>
    </row>
    <row r="680" spans="1:5" x14ac:dyDescent="0.3">
      <c r="A680" s="3" t="s">
        <v>27</v>
      </c>
      <c r="B680" s="3" t="s">
        <v>38</v>
      </c>
      <c r="C680" s="3" t="s">
        <v>6</v>
      </c>
      <c r="D680" s="4">
        <v>176606</v>
      </c>
      <c r="E680" s="4">
        <v>87623</v>
      </c>
    </row>
    <row r="681" spans="1:5" x14ac:dyDescent="0.3">
      <c r="A681" s="3" t="s">
        <v>27</v>
      </c>
      <c r="B681" s="3" t="s">
        <v>38</v>
      </c>
      <c r="C681" s="3" t="s">
        <v>7</v>
      </c>
      <c r="D681" s="4">
        <v>185770</v>
      </c>
      <c r="E681" s="4">
        <v>84631</v>
      </c>
    </row>
    <row r="682" spans="1:5" x14ac:dyDescent="0.3">
      <c r="A682" s="3" t="s">
        <v>27</v>
      </c>
      <c r="B682" s="3" t="s">
        <v>38</v>
      </c>
      <c r="C682" s="3" t="s">
        <v>8</v>
      </c>
      <c r="D682" s="4">
        <v>199027</v>
      </c>
      <c r="E682" s="4">
        <v>103175</v>
      </c>
    </row>
    <row r="683" spans="1:5" x14ac:dyDescent="0.3">
      <c r="A683" s="3" t="s">
        <v>27</v>
      </c>
      <c r="B683" s="3" t="s">
        <v>38</v>
      </c>
      <c r="C683" s="3" t="s">
        <v>9</v>
      </c>
      <c r="D683" s="4">
        <v>251944</v>
      </c>
      <c r="E683" s="4">
        <v>115494</v>
      </c>
    </row>
    <row r="684" spans="1:5" x14ac:dyDescent="0.3">
      <c r="A684" s="3" t="s">
        <v>27</v>
      </c>
      <c r="B684" s="3" t="s">
        <v>38</v>
      </c>
      <c r="C684" s="3" t="s">
        <v>10</v>
      </c>
      <c r="D684" s="4">
        <v>231779</v>
      </c>
      <c r="E684" s="4">
        <v>75550</v>
      </c>
    </row>
    <row r="685" spans="1:5" x14ac:dyDescent="0.3">
      <c r="A685" s="3" t="s">
        <v>27</v>
      </c>
      <c r="B685" s="3" t="s">
        <v>38</v>
      </c>
      <c r="C685" s="3" t="s">
        <v>11</v>
      </c>
      <c r="D685" s="4">
        <v>194817</v>
      </c>
      <c r="E685" s="4">
        <v>82614</v>
      </c>
    </row>
    <row r="686" spans="1:5" x14ac:dyDescent="0.3">
      <c r="A686" s="3" t="s">
        <v>27</v>
      </c>
      <c r="B686" s="3" t="s">
        <v>38</v>
      </c>
      <c r="C686" s="3" t="s">
        <v>12</v>
      </c>
      <c r="D686" s="4">
        <v>184716</v>
      </c>
      <c r="E686" s="4">
        <v>87374</v>
      </c>
    </row>
    <row r="687" spans="1:5" x14ac:dyDescent="0.3">
      <c r="A687" s="3" t="s">
        <v>27</v>
      </c>
      <c r="B687" s="3" t="s">
        <v>38</v>
      </c>
      <c r="C687" s="3" t="s">
        <v>13</v>
      </c>
      <c r="D687" s="4">
        <v>189319</v>
      </c>
      <c r="E687" s="4">
        <v>139851</v>
      </c>
    </row>
    <row r="688" spans="1:5" x14ac:dyDescent="0.3">
      <c r="A688" s="3" t="s">
        <v>27</v>
      </c>
      <c r="B688" s="3" t="s">
        <v>36</v>
      </c>
      <c r="C688" s="3" t="s">
        <v>2</v>
      </c>
      <c r="D688" s="4">
        <v>55174</v>
      </c>
      <c r="E688" s="4">
        <v>28406</v>
      </c>
    </row>
    <row r="689" spans="1:5" x14ac:dyDescent="0.3">
      <c r="A689" s="3" t="s">
        <v>27</v>
      </c>
      <c r="B689" s="3" t="s">
        <v>36</v>
      </c>
      <c r="C689" s="3" t="s">
        <v>3</v>
      </c>
      <c r="D689" s="4">
        <v>46527</v>
      </c>
      <c r="E689" s="4">
        <v>20430</v>
      </c>
    </row>
    <row r="690" spans="1:5" x14ac:dyDescent="0.3">
      <c r="A690" s="3" t="s">
        <v>27</v>
      </c>
      <c r="B690" s="3" t="s">
        <v>36</v>
      </c>
      <c r="C690" s="3" t="s">
        <v>4</v>
      </c>
      <c r="D690" s="4">
        <v>54460</v>
      </c>
      <c r="E690" s="4">
        <v>21733</v>
      </c>
    </row>
    <row r="691" spans="1:5" x14ac:dyDescent="0.3">
      <c r="A691" s="3" t="s">
        <v>27</v>
      </c>
      <c r="B691" s="3" t="s">
        <v>36</v>
      </c>
      <c r="C691" s="3" t="s">
        <v>5</v>
      </c>
      <c r="D691" s="4">
        <v>79114</v>
      </c>
      <c r="E691" s="4">
        <v>21309</v>
      </c>
    </row>
    <row r="692" spans="1:5" x14ac:dyDescent="0.3">
      <c r="A692" s="3" t="s">
        <v>27</v>
      </c>
      <c r="B692" s="3" t="s">
        <v>36</v>
      </c>
      <c r="C692" s="3" t="s">
        <v>6</v>
      </c>
      <c r="D692" s="4">
        <v>73317</v>
      </c>
      <c r="E692" s="4">
        <v>23089</v>
      </c>
    </row>
    <row r="693" spans="1:5" x14ac:dyDescent="0.3">
      <c r="A693" s="3" t="s">
        <v>27</v>
      </c>
      <c r="B693" s="3" t="s">
        <v>36</v>
      </c>
      <c r="C693" s="3" t="s">
        <v>7</v>
      </c>
      <c r="D693" s="4">
        <v>63064</v>
      </c>
      <c r="E693" s="4">
        <v>23379</v>
      </c>
    </row>
    <row r="694" spans="1:5" x14ac:dyDescent="0.3">
      <c r="A694" s="3" t="s">
        <v>27</v>
      </c>
      <c r="B694" s="3" t="s">
        <v>36</v>
      </c>
      <c r="C694" s="3" t="s">
        <v>8</v>
      </c>
      <c r="D694" s="4">
        <v>63740</v>
      </c>
      <c r="E694" s="4">
        <v>23830</v>
      </c>
    </row>
    <row r="695" spans="1:5" x14ac:dyDescent="0.3">
      <c r="A695" s="3" t="s">
        <v>27</v>
      </c>
      <c r="B695" s="3" t="s">
        <v>36</v>
      </c>
      <c r="C695" s="3" t="s">
        <v>9</v>
      </c>
      <c r="D695" s="4">
        <v>62970</v>
      </c>
      <c r="E695" s="4">
        <v>28016</v>
      </c>
    </row>
    <row r="696" spans="1:5" x14ac:dyDescent="0.3">
      <c r="A696" s="3" t="s">
        <v>27</v>
      </c>
      <c r="B696" s="3" t="s">
        <v>36</v>
      </c>
      <c r="C696" s="3" t="s">
        <v>10</v>
      </c>
      <c r="D696" s="4">
        <v>92220</v>
      </c>
      <c r="E696" s="4">
        <v>21846</v>
      </c>
    </row>
    <row r="697" spans="1:5" x14ac:dyDescent="0.3">
      <c r="A697" s="3" t="s">
        <v>27</v>
      </c>
      <c r="B697" s="3" t="s">
        <v>36</v>
      </c>
      <c r="C697" s="3" t="s">
        <v>11</v>
      </c>
      <c r="D697" s="4">
        <v>108694</v>
      </c>
      <c r="E697" s="4">
        <v>25703</v>
      </c>
    </row>
    <row r="698" spans="1:5" x14ac:dyDescent="0.3">
      <c r="A698" s="3" t="s">
        <v>27</v>
      </c>
      <c r="B698" s="3" t="s">
        <v>36</v>
      </c>
      <c r="C698" s="3" t="s">
        <v>12</v>
      </c>
      <c r="D698" s="4">
        <v>106285</v>
      </c>
      <c r="E698" s="4">
        <v>32854</v>
      </c>
    </row>
    <row r="699" spans="1:5" x14ac:dyDescent="0.3">
      <c r="A699" s="3" t="s">
        <v>27</v>
      </c>
      <c r="B699" s="3" t="s">
        <v>36</v>
      </c>
      <c r="C699" s="3" t="s">
        <v>13</v>
      </c>
      <c r="D699" s="4">
        <v>121992</v>
      </c>
      <c r="E699" s="4">
        <v>50988</v>
      </c>
    </row>
    <row r="700" spans="1:5" x14ac:dyDescent="0.3">
      <c r="A700" s="3" t="s">
        <v>27</v>
      </c>
      <c r="B700" s="3" t="s">
        <v>35</v>
      </c>
      <c r="C700" s="3" t="s">
        <v>2</v>
      </c>
      <c r="D700" s="4">
        <v>164948</v>
      </c>
      <c r="E700" s="4">
        <v>78073</v>
      </c>
    </row>
    <row r="701" spans="1:5" x14ac:dyDescent="0.3">
      <c r="A701" s="3" t="s">
        <v>27</v>
      </c>
      <c r="B701" s="3" t="s">
        <v>35</v>
      </c>
      <c r="C701" s="3" t="s">
        <v>3</v>
      </c>
      <c r="D701" s="4">
        <v>187608</v>
      </c>
      <c r="E701" s="4">
        <v>96355</v>
      </c>
    </row>
    <row r="702" spans="1:5" x14ac:dyDescent="0.3">
      <c r="A702" s="3" t="s">
        <v>27</v>
      </c>
      <c r="B702" s="3" t="s">
        <v>35</v>
      </c>
      <c r="C702" s="3" t="s">
        <v>4</v>
      </c>
      <c r="D702" s="4">
        <v>290161</v>
      </c>
      <c r="E702" s="4">
        <v>110440</v>
      </c>
    </row>
    <row r="703" spans="1:5" x14ac:dyDescent="0.3">
      <c r="A703" s="3" t="s">
        <v>27</v>
      </c>
      <c r="B703" s="3" t="s">
        <v>35</v>
      </c>
      <c r="C703" s="3" t="s">
        <v>5</v>
      </c>
      <c r="D703" s="4">
        <v>295963</v>
      </c>
      <c r="E703" s="4">
        <v>97404</v>
      </c>
    </row>
    <row r="704" spans="1:5" x14ac:dyDescent="0.3">
      <c r="A704" s="3" t="s">
        <v>27</v>
      </c>
      <c r="B704" s="3" t="s">
        <v>35</v>
      </c>
      <c r="C704" s="3" t="s">
        <v>6</v>
      </c>
      <c r="D704" s="4">
        <v>277923</v>
      </c>
      <c r="E704" s="4">
        <v>98505</v>
      </c>
    </row>
    <row r="705" spans="1:5" x14ac:dyDescent="0.3">
      <c r="A705" s="3" t="s">
        <v>27</v>
      </c>
      <c r="B705" s="3" t="s">
        <v>35</v>
      </c>
      <c r="C705" s="3" t="s">
        <v>7</v>
      </c>
      <c r="D705" s="4">
        <v>236021</v>
      </c>
      <c r="E705" s="4">
        <v>89874</v>
      </c>
    </row>
    <row r="706" spans="1:5" x14ac:dyDescent="0.3">
      <c r="A706" s="3" t="s">
        <v>27</v>
      </c>
      <c r="B706" s="3" t="s">
        <v>35</v>
      </c>
      <c r="C706" s="3" t="s">
        <v>8</v>
      </c>
      <c r="D706" s="4">
        <v>215533</v>
      </c>
      <c r="E706" s="4">
        <v>97355</v>
      </c>
    </row>
    <row r="707" spans="1:5" x14ac:dyDescent="0.3">
      <c r="A707" s="3" t="s">
        <v>27</v>
      </c>
      <c r="B707" s="3" t="s">
        <v>35</v>
      </c>
      <c r="C707" s="3" t="s">
        <v>9</v>
      </c>
      <c r="D707" s="4">
        <v>225087</v>
      </c>
      <c r="E707" s="4">
        <v>106363</v>
      </c>
    </row>
    <row r="708" spans="1:5" x14ac:dyDescent="0.3">
      <c r="A708" s="3" t="s">
        <v>27</v>
      </c>
      <c r="B708" s="3" t="s">
        <v>35</v>
      </c>
      <c r="C708" s="3" t="s">
        <v>10</v>
      </c>
      <c r="D708" s="4">
        <v>321479</v>
      </c>
      <c r="E708" s="4">
        <v>128154</v>
      </c>
    </row>
    <row r="709" spans="1:5" x14ac:dyDescent="0.3">
      <c r="A709" s="3" t="s">
        <v>27</v>
      </c>
      <c r="B709" s="3" t="s">
        <v>35</v>
      </c>
      <c r="C709" s="3" t="s">
        <v>11</v>
      </c>
      <c r="D709" s="4">
        <v>322585</v>
      </c>
      <c r="E709" s="4">
        <v>174790</v>
      </c>
    </row>
    <row r="710" spans="1:5" x14ac:dyDescent="0.3">
      <c r="A710" s="3" t="s">
        <v>27</v>
      </c>
      <c r="B710" s="3" t="s">
        <v>35</v>
      </c>
      <c r="C710" s="3" t="s">
        <v>12</v>
      </c>
      <c r="D710" s="4">
        <v>293502</v>
      </c>
      <c r="E710" s="4">
        <v>153923</v>
      </c>
    </row>
    <row r="711" spans="1:5" x14ac:dyDescent="0.3">
      <c r="A711" s="3" t="s">
        <v>27</v>
      </c>
      <c r="B711" s="3" t="s">
        <v>35</v>
      </c>
      <c r="C711" s="3" t="s">
        <v>13</v>
      </c>
      <c r="D711" s="4">
        <v>297030</v>
      </c>
      <c r="E711" s="4">
        <v>246482</v>
      </c>
    </row>
    <row r="712" spans="1:5" x14ac:dyDescent="0.3">
      <c r="A712" s="3" t="s">
        <v>27</v>
      </c>
      <c r="B712" s="3" t="s">
        <v>34</v>
      </c>
      <c r="C712" s="3" t="s">
        <v>2</v>
      </c>
      <c r="D712" s="4">
        <v>4501</v>
      </c>
      <c r="E712" s="4">
        <v>1053</v>
      </c>
    </row>
    <row r="713" spans="1:5" x14ac:dyDescent="0.3">
      <c r="A713" s="3" t="s">
        <v>27</v>
      </c>
      <c r="B713" s="3" t="s">
        <v>34</v>
      </c>
      <c r="C713" s="3" t="s">
        <v>3</v>
      </c>
      <c r="D713" s="4">
        <v>3185</v>
      </c>
      <c r="E713" s="4">
        <v>484</v>
      </c>
    </row>
    <row r="714" spans="1:5" x14ac:dyDescent="0.3">
      <c r="A714" s="3" t="s">
        <v>27</v>
      </c>
      <c r="B714" s="3" t="s">
        <v>34</v>
      </c>
      <c r="C714" s="3" t="s">
        <v>4</v>
      </c>
      <c r="D714" s="4">
        <v>2739</v>
      </c>
      <c r="E714" s="4">
        <v>293</v>
      </c>
    </row>
    <row r="715" spans="1:5" x14ac:dyDescent="0.3">
      <c r="A715" s="3" t="s">
        <v>27</v>
      </c>
      <c r="B715" s="3" t="s">
        <v>34</v>
      </c>
      <c r="C715" s="3" t="s">
        <v>5</v>
      </c>
      <c r="D715" s="4">
        <v>2562</v>
      </c>
      <c r="E715" s="4">
        <v>322</v>
      </c>
    </row>
    <row r="716" spans="1:5" x14ac:dyDescent="0.3">
      <c r="A716" s="3" t="s">
        <v>27</v>
      </c>
      <c r="B716" s="3" t="s">
        <v>34</v>
      </c>
      <c r="C716" s="3" t="s">
        <v>6</v>
      </c>
      <c r="D716" s="4">
        <v>2048</v>
      </c>
      <c r="E716" s="4">
        <v>491</v>
      </c>
    </row>
    <row r="717" spans="1:5" x14ac:dyDescent="0.3">
      <c r="A717" s="3" t="s">
        <v>27</v>
      </c>
      <c r="B717" s="3" t="s">
        <v>34</v>
      </c>
      <c r="C717" s="3" t="s">
        <v>7</v>
      </c>
      <c r="D717" s="4">
        <v>19342</v>
      </c>
      <c r="E717" s="4">
        <v>2983</v>
      </c>
    </row>
    <row r="718" spans="1:5" x14ac:dyDescent="0.3">
      <c r="A718" s="3" t="s">
        <v>27</v>
      </c>
      <c r="B718" s="3" t="s">
        <v>34</v>
      </c>
      <c r="C718" s="3" t="s">
        <v>8</v>
      </c>
      <c r="D718" s="4">
        <v>31800</v>
      </c>
      <c r="E718" s="4">
        <v>7185</v>
      </c>
    </row>
    <row r="719" spans="1:5" x14ac:dyDescent="0.3">
      <c r="A719" s="3" t="s">
        <v>27</v>
      </c>
      <c r="B719" s="3" t="s">
        <v>34</v>
      </c>
      <c r="C719" s="3" t="s">
        <v>9</v>
      </c>
      <c r="D719" s="4">
        <v>26806</v>
      </c>
      <c r="E719" s="4">
        <v>15139</v>
      </c>
    </row>
    <row r="720" spans="1:5" x14ac:dyDescent="0.3">
      <c r="A720" s="3" t="s">
        <v>27</v>
      </c>
      <c r="B720" s="3" t="s">
        <v>34</v>
      </c>
      <c r="C720" s="3" t="s">
        <v>10</v>
      </c>
      <c r="D720" s="4">
        <v>12147</v>
      </c>
      <c r="E720" s="4">
        <v>2089</v>
      </c>
    </row>
    <row r="721" spans="1:5" x14ac:dyDescent="0.3">
      <c r="A721" s="3" t="s">
        <v>27</v>
      </c>
      <c r="B721" s="3" t="s">
        <v>34</v>
      </c>
      <c r="C721" s="3" t="s">
        <v>11</v>
      </c>
      <c r="D721" s="4">
        <v>8894</v>
      </c>
      <c r="E721" s="4">
        <v>2636</v>
      </c>
    </row>
    <row r="722" spans="1:5" x14ac:dyDescent="0.3">
      <c r="A722" s="3" t="s">
        <v>27</v>
      </c>
      <c r="B722" s="3" t="s">
        <v>34</v>
      </c>
      <c r="C722" s="3" t="s">
        <v>12</v>
      </c>
      <c r="D722" s="4">
        <v>11331</v>
      </c>
      <c r="E722" s="4">
        <v>3851</v>
      </c>
    </row>
    <row r="723" spans="1:5" x14ac:dyDescent="0.3">
      <c r="A723" s="3" t="s">
        <v>27</v>
      </c>
      <c r="B723" s="3" t="s">
        <v>34</v>
      </c>
      <c r="C723" s="3" t="s">
        <v>13</v>
      </c>
      <c r="D723" s="4">
        <v>3895</v>
      </c>
      <c r="E723" s="4">
        <v>1922</v>
      </c>
    </row>
    <row r="724" spans="1:5" x14ac:dyDescent="0.3">
      <c r="A724" s="3" t="s">
        <v>28</v>
      </c>
      <c r="B724" s="3" t="s">
        <v>37</v>
      </c>
      <c r="C724" s="3" t="s">
        <v>2</v>
      </c>
      <c r="D724" s="4">
        <v>61970</v>
      </c>
      <c r="E724" s="4">
        <v>20955</v>
      </c>
    </row>
    <row r="725" spans="1:5" x14ac:dyDescent="0.3">
      <c r="A725" s="3" t="s">
        <v>28</v>
      </c>
      <c r="B725" s="3" t="s">
        <v>37</v>
      </c>
      <c r="C725" s="3" t="s">
        <v>3</v>
      </c>
      <c r="D725" s="4">
        <v>69872</v>
      </c>
      <c r="E725" s="4">
        <v>24364</v>
      </c>
    </row>
    <row r="726" spans="1:5" x14ac:dyDescent="0.3">
      <c r="A726" s="3" t="s">
        <v>28</v>
      </c>
      <c r="B726" s="3" t="s">
        <v>37</v>
      </c>
      <c r="C726" s="3" t="s">
        <v>4</v>
      </c>
      <c r="D726" s="4">
        <v>82104</v>
      </c>
      <c r="E726" s="4">
        <v>28028</v>
      </c>
    </row>
    <row r="727" spans="1:5" x14ac:dyDescent="0.3">
      <c r="A727" s="3" t="s">
        <v>28</v>
      </c>
      <c r="B727" s="3" t="s">
        <v>37</v>
      </c>
      <c r="C727" s="3" t="s">
        <v>5</v>
      </c>
      <c r="D727" s="4">
        <v>76621</v>
      </c>
      <c r="E727" s="4">
        <v>23090</v>
      </c>
    </row>
    <row r="728" spans="1:5" x14ac:dyDescent="0.3">
      <c r="A728" s="3" t="s">
        <v>28</v>
      </c>
      <c r="B728" s="3" t="s">
        <v>37</v>
      </c>
      <c r="C728" s="3" t="s">
        <v>6</v>
      </c>
      <c r="D728" s="4">
        <v>72426</v>
      </c>
      <c r="E728" s="4">
        <v>24322</v>
      </c>
    </row>
    <row r="729" spans="1:5" x14ac:dyDescent="0.3">
      <c r="A729" s="3" t="s">
        <v>28</v>
      </c>
      <c r="B729" s="3" t="s">
        <v>37</v>
      </c>
      <c r="C729" s="3" t="s">
        <v>7</v>
      </c>
      <c r="D729" s="4">
        <v>82981</v>
      </c>
      <c r="E729" s="4">
        <v>27663</v>
      </c>
    </row>
    <row r="730" spans="1:5" x14ac:dyDescent="0.3">
      <c r="A730" s="3" t="s">
        <v>28</v>
      </c>
      <c r="B730" s="3" t="s">
        <v>37</v>
      </c>
      <c r="C730" s="3" t="s">
        <v>8</v>
      </c>
      <c r="D730" s="4">
        <v>74310</v>
      </c>
      <c r="E730" s="4">
        <v>23650</v>
      </c>
    </row>
    <row r="731" spans="1:5" x14ac:dyDescent="0.3">
      <c r="A731" s="3" t="s">
        <v>28</v>
      </c>
      <c r="B731" s="3" t="s">
        <v>37</v>
      </c>
      <c r="C731" s="3" t="s">
        <v>9</v>
      </c>
      <c r="D731" s="4">
        <v>79296</v>
      </c>
      <c r="E731" s="4">
        <v>30386</v>
      </c>
    </row>
    <row r="732" spans="1:5" x14ac:dyDescent="0.3">
      <c r="A732" s="3" t="s">
        <v>28</v>
      </c>
      <c r="B732" s="3" t="s">
        <v>37</v>
      </c>
      <c r="C732" s="3" t="s">
        <v>10</v>
      </c>
      <c r="D732" s="4">
        <v>79017</v>
      </c>
      <c r="E732" s="4">
        <v>24200</v>
      </c>
    </row>
    <row r="733" spans="1:5" x14ac:dyDescent="0.3">
      <c r="A733" s="3" t="s">
        <v>28</v>
      </c>
      <c r="B733" s="3" t="s">
        <v>37</v>
      </c>
      <c r="C733" s="3" t="s">
        <v>11</v>
      </c>
      <c r="D733" s="4">
        <v>75058</v>
      </c>
      <c r="E733" s="4">
        <v>23198</v>
      </c>
    </row>
    <row r="734" spans="1:5" x14ac:dyDescent="0.3">
      <c r="A734" s="3" t="s">
        <v>28</v>
      </c>
      <c r="B734" s="3" t="s">
        <v>37</v>
      </c>
      <c r="C734" s="3" t="s">
        <v>12</v>
      </c>
      <c r="D734" s="4">
        <v>71365</v>
      </c>
      <c r="E734" s="4">
        <v>25786</v>
      </c>
    </row>
    <row r="735" spans="1:5" x14ac:dyDescent="0.3">
      <c r="A735" s="3" t="s">
        <v>28</v>
      </c>
      <c r="B735" s="3" t="s">
        <v>37</v>
      </c>
      <c r="C735" s="3" t="s">
        <v>13</v>
      </c>
      <c r="D735" s="4">
        <v>76742</v>
      </c>
      <c r="E735" s="4">
        <v>35759</v>
      </c>
    </row>
    <row r="736" spans="1:5" x14ac:dyDescent="0.3">
      <c r="A736" s="3" t="s">
        <v>28</v>
      </c>
      <c r="B736" s="3" t="s">
        <v>38</v>
      </c>
      <c r="C736" s="3" t="s">
        <v>2</v>
      </c>
      <c r="D736" s="4">
        <v>74807</v>
      </c>
      <c r="E736" s="4">
        <v>17308</v>
      </c>
    </row>
    <row r="737" spans="1:5" x14ac:dyDescent="0.3">
      <c r="A737" s="3" t="s">
        <v>28</v>
      </c>
      <c r="B737" s="3" t="s">
        <v>38</v>
      </c>
      <c r="C737" s="3" t="s">
        <v>3</v>
      </c>
      <c r="D737" s="4">
        <v>89216</v>
      </c>
      <c r="E737" s="4">
        <v>20513</v>
      </c>
    </row>
    <row r="738" spans="1:5" x14ac:dyDescent="0.3">
      <c r="A738" s="3" t="s">
        <v>28</v>
      </c>
      <c r="B738" s="3" t="s">
        <v>38</v>
      </c>
      <c r="C738" s="3" t="s">
        <v>4</v>
      </c>
      <c r="D738" s="4">
        <v>100003</v>
      </c>
      <c r="E738" s="4">
        <v>26821</v>
      </c>
    </row>
    <row r="739" spans="1:5" x14ac:dyDescent="0.3">
      <c r="A739" s="3" t="s">
        <v>28</v>
      </c>
      <c r="B739" s="3" t="s">
        <v>38</v>
      </c>
      <c r="C739" s="3" t="s">
        <v>5</v>
      </c>
      <c r="D739" s="4">
        <v>94825</v>
      </c>
      <c r="E739" s="4">
        <v>22123</v>
      </c>
    </row>
    <row r="740" spans="1:5" x14ac:dyDescent="0.3">
      <c r="A740" s="3" t="s">
        <v>28</v>
      </c>
      <c r="B740" s="3" t="s">
        <v>38</v>
      </c>
      <c r="C740" s="3" t="s">
        <v>6</v>
      </c>
      <c r="D740" s="4">
        <v>87663</v>
      </c>
      <c r="E740" s="4">
        <v>24949</v>
      </c>
    </row>
    <row r="741" spans="1:5" x14ac:dyDescent="0.3">
      <c r="A741" s="3" t="s">
        <v>28</v>
      </c>
      <c r="B741" s="3" t="s">
        <v>38</v>
      </c>
      <c r="C741" s="3" t="s">
        <v>7</v>
      </c>
      <c r="D741" s="4">
        <v>84674</v>
      </c>
      <c r="E741" s="4">
        <v>23088</v>
      </c>
    </row>
    <row r="742" spans="1:5" x14ac:dyDescent="0.3">
      <c r="A742" s="3" t="s">
        <v>28</v>
      </c>
      <c r="B742" s="3" t="s">
        <v>38</v>
      </c>
      <c r="C742" s="3" t="s">
        <v>8</v>
      </c>
      <c r="D742" s="4">
        <v>97267</v>
      </c>
      <c r="E742" s="4">
        <v>26481</v>
      </c>
    </row>
    <row r="743" spans="1:5" x14ac:dyDescent="0.3">
      <c r="A743" s="3" t="s">
        <v>28</v>
      </c>
      <c r="B743" s="3" t="s">
        <v>38</v>
      </c>
      <c r="C743" s="3" t="s">
        <v>9</v>
      </c>
      <c r="D743" s="4">
        <v>110736</v>
      </c>
      <c r="E743" s="4">
        <v>32391</v>
      </c>
    </row>
    <row r="744" spans="1:5" x14ac:dyDescent="0.3">
      <c r="A744" s="3" t="s">
        <v>28</v>
      </c>
      <c r="B744" s="3" t="s">
        <v>38</v>
      </c>
      <c r="C744" s="3" t="s">
        <v>10</v>
      </c>
      <c r="D744" s="4">
        <v>102580</v>
      </c>
      <c r="E744" s="4">
        <v>20106</v>
      </c>
    </row>
    <row r="745" spans="1:5" x14ac:dyDescent="0.3">
      <c r="A745" s="3" t="s">
        <v>28</v>
      </c>
      <c r="B745" s="3" t="s">
        <v>38</v>
      </c>
      <c r="C745" s="3" t="s">
        <v>11</v>
      </c>
      <c r="D745" s="4">
        <v>99666</v>
      </c>
      <c r="E745" s="4">
        <v>23432</v>
      </c>
    </row>
    <row r="746" spans="1:5" x14ac:dyDescent="0.3">
      <c r="A746" s="3" t="s">
        <v>28</v>
      </c>
      <c r="B746" s="3" t="s">
        <v>38</v>
      </c>
      <c r="C746" s="3" t="s">
        <v>12</v>
      </c>
      <c r="D746" s="4">
        <v>95669</v>
      </c>
      <c r="E746" s="4">
        <v>26537</v>
      </c>
    </row>
    <row r="747" spans="1:5" x14ac:dyDescent="0.3">
      <c r="A747" s="3" t="s">
        <v>28</v>
      </c>
      <c r="B747" s="3" t="s">
        <v>38</v>
      </c>
      <c r="C747" s="3" t="s">
        <v>13</v>
      </c>
      <c r="D747" s="4">
        <v>91625</v>
      </c>
      <c r="E747" s="4">
        <v>43728</v>
      </c>
    </row>
    <row r="748" spans="1:5" x14ac:dyDescent="0.3">
      <c r="A748" s="3" t="s">
        <v>28</v>
      </c>
      <c r="B748" s="3" t="s">
        <v>36</v>
      </c>
      <c r="C748" s="3" t="s">
        <v>2</v>
      </c>
      <c r="D748" s="4">
        <v>29015</v>
      </c>
      <c r="E748" s="4">
        <v>14099</v>
      </c>
    </row>
    <row r="749" spans="1:5" x14ac:dyDescent="0.3">
      <c r="A749" s="3" t="s">
        <v>28</v>
      </c>
      <c r="B749" s="3" t="s">
        <v>36</v>
      </c>
      <c r="C749" s="3" t="s">
        <v>3</v>
      </c>
      <c r="D749" s="4">
        <v>30889</v>
      </c>
      <c r="E749" s="4">
        <v>10730</v>
      </c>
    </row>
    <row r="750" spans="1:5" x14ac:dyDescent="0.3">
      <c r="A750" s="3" t="s">
        <v>28</v>
      </c>
      <c r="B750" s="3" t="s">
        <v>36</v>
      </c>
      <c r="C750" s="3" t="s">
        <v>4</v>
      </c>
      <c r="D750" s="4">
        <v>34719</v>
      </c>
      <c r="E750" s="4">
        <v>12454</v>
      </c>
    </row>
    <row r="751" spans="1:5" x14ac:dyDescent="0.3">
      <c r="A751" s="3" t="s">
        <v>28</v>
      </c>
      <c r="B751" s="3" t="s">
        <v>36</v>
      </c>
      <c r="C751" s="3" t="s">
        <v>5</v>
      </c>
      <c r="D751" s="4">
        <v>46475</v>
      </c>
      <c r="E751" s="4">
        <v>12273</v>
      </c>
    </row>
    <row r="752" spans="1:5" x14ac:dyDescent="0.3">
      <c r="A752" s="3" t="s">
        <v>28</v>
      </c>
      <c r="B752" s="3" t="s">
        <v>36</v>
      </c>
      <c r="C752" s="3" t="s">
        <v>6</v>
      </c>
      <c r="D752" s="4">
        <v>44312</v>
      </c>
      <c r="E752" s="4">
        <v>11595</v>
      </c>
    </row>
    <row r="753" spans="1:5" x14ac:dyDescent="0.3">
      <c r="A753" s="3" t="s">
        <v>28</v>
      </c>
      <c r="B753" s="3" t="s">
        <v>36</v>
      </c>
      <c r="C753" s="3" t="s">
        <v>7</v>
      </c>
      <c r="D753" s="4">
        <v>40671</v>
      </c>
      <c r="E753" s="4">
        <v>11817</v>
      </c>
    </row>
    <row r="754" spans="1:5" x14ac:dyDescent="0.3">
      <c r="A754" s="3" t="s">
        <v>28</v>
      </c>
      <c r="B754" s="3" t="s">
        <v>36</v>
      </c>
      <c r="C754" s="3" t="s">
        <v>8</v>
      </c>
      <c r="D754" s="4">
        <v>40392</v>
      </c>
      <c r="E754" s="4">
        <v>11681</v>
      </c>
    </row>
    <row r="755" spans="1:5" x14ac:dyDescent="0.3">
      <c r="A755" s="3" t="s">
        <v>28</v>
      </c>
      <c r="B755" s="3" t="s">
        <v>36</v>
      </c>
      <c r="C755" s="3" t="s">
        <v>9</v>
      </c>
      <c r="D755" s="4">
        <v>35073</v>
      </c>
      <c r="E755" s="4">
        <v>13183</v>
      </c>
    </row>
    <row r="756" spans="1:5" x14ac:dyDescent="0.3">
      <c r="A756" s="3" t="s">
        <v>28</v>
      </c>
      <c r="B756" s="3" t="s">
        <v>36</v>
      </c>
      <c r="C756" s="3" t="s">
        <v>10</v>
      </c>
      <c r="D756" s="4">
        <v>47461</v>
      </c>
      <c r="E756" s="4">
        <v>10132</v>
      </c>
    </row>
    <row r="757" spans="1:5" x14ac:dyDescent="0.3">
      <c r="A757" s="3" t="s">
        <v>28</v>
      </c>
      <c r="B757" s="3" t="s">
        <v>36</v>
      </c>
      <c r="C757" s="3" t="s">
        <v>11</v>
      </c>
      <c r="D757" s="4">
        <v>60154</v>
      </c>
      <c r="E757" s="4">
        <v>13008</v>
      </c>
    </row>
    <row r="758" spans="1:5" x14ac:dyDescent="0.3">
      <c r="A758" s="3" t="s">
        <v>28</v>
      </c>
      <c r="B758" s="3" t="s">
        <v>36</v>
      </c>
      <c r="C758" s="3" t="s">
        <v>12</v>
      </c>
      <c r="D758" s="4">
        <v>58231</v>
      </c>
      <c r="E758" s="4">
        <v>18021</v>
      </c>
    </row>
    <row r="759" spans="1:5" x14ac:dyDescent="0.3">
      <c r="A759" s="3" t="s">
        <v>28</v>
      </c>
      <c r="B759" s="3" t="s">
        <v>36</v>
      </c>
      <c r="C759" s="3" t="s">
        <v>13</v>
      </c>
      <c r="D759" s="4">
        <v>61452</v>
      </c>
      <c r="E759" s="4">
        <v>33120</v>
      </c>
    </row>
    <row r="760" spans="1:5" x14ac:dyDescent="0.3">
      <c r="A760" s="3" t="s">
        <v>28</v>
      </c>
      <c r="B760" s="3" t="s">
        <v>35</v>
      </c>
      <c r="C760" s="3" t="s">
        <v>2</v>
      </c>
      <c r="D760" s="4">
        <v>90035</v>
      </c>
      <c r="E760" s="4">
        <v>36321</v>
      </c>
    </row>
    <row r="761" spans="1:5" x14ac:dyDescent="0.3">
      <c r="A761" s="3" t="s">
        <v>28</v>
      </c>
      <c r="B761" s="3" t="s">
        <v>35</v>
      </c>
      <c r="C761" s="3" t="s">
        <v>3</v>
      </c>
      <c r="D761" s="4">
        <v>103659</v>
      </c>
      <c r="E761" s="4">
        <v>40569</v>
      </c>
    </row>
    <row r="762" spans="1:5" x14ac:dyDescent="0.3">
      <c r="A762" s="3" t="s">
        <v>28</v>
      </c>
      <c r="B762" s="3" t="s">
        <v>35</v>
      </c>
      <c r="C762" s="3" t="s">
        <v>4</v>
      </c>
      <c r="D762" s="4">
        <v>169765</v>
      </c>
      <c r="E762" s="4">
        <v>50598</v>
      </c>
    </row>
    <row r="763" spans="1:5" x14ac:dyDescent="0.3">
      <c r="A763" s="3" t="s">
        <v>28</v>
      </c>
      <c r="B763" s="3" t="s">
        <v>35</v>
      </c>
      <c r="C763" s="3" t="s">
        <v>5</v>
      </c>
      <c r="D763" s="4">
        <v>171304</v>
      </c>
      <c r="E763" s="4">
        <v>42069</v>
      </c>
    </row>
    <row r="764" spans="1:5" x14ac:dyDescent="0.3">
      <c r="A764" s="3" t="s">
        <v>28</v>
      </c>
      <c r="B764" s="3" t="s">
        <v>35</v>
      </c>
      <c r="C764" s="3" t="s">
        <v>6</v>
      </c>
      <c r="D764" s="4">
        <v>159808</v>
      </c>
      <c r="E764" s="4">
        <v>44766</v>
      </c>
    </row>
    <row r="765" spans="1:5" x14ac:dyDescent="0.3">
      <c r="A765" s="3" t="s">
        <v>28</v>
      </c>
      <c r="B765" s="3" t="s">
        <v>35</v>
      </c>
      <c r="C765" s="3" t="s">
        <v>7</v>
      </c>
      <c r="D765" s="4">
        <v>132263</v>
      </c>
      <c r="E765" s="4">
        <v>38694</v>
      </c>
    </row>
    <row r="766" spans="1:5" x14ac:dyDescent="0.3">
      <c r="A766" s="3" t="s">
        <v>28</v>
      </c>
      <c r="B766" s="3" t="s">
        <v>35</v>
      </c>
      <c r="C766" s="3" t="s">
        <v>8</v>
      </c>
      <c r="D766" s="4">
        <v>116041</v>
      </c>
      <c r="E766" s="4">
        <v>39572</v>
      </c>
    </row>
    <row r="767" spans="1:5" x14ac:dyDescent="0.3">
      <c r="A767" s="3" t="s">
        <v>28</v>
      </c>
      <c r="B767" s="3" t="s">
        <v>35</v>
      </c>
      <c r="C767" s="3" t="s">
        <v>9</v>
      </c>
      <c r="D767" s="4">
        <v>116419</v>
      </c>
      <c r="E767" s="4">
        <v>41954</v>
      </c>
    </row>
    <row r="768" spans="1:5" x14ac:dyDescent="0.3">
      <c r="A768" s="3" t="s">
        <v>28</v>
      </c>
      <c r="B768" s="3" t="s">
        <v>35</v>
      </c>
      <c r="C768" s="3" t="s">
        <v>10</v>
      </c>
      <c r="D768" s="4">
        <v>149869</v>
      </c>
      <c r="E768" s="4">
        <v>50807</v>
      </c>
    </row>
    <row r="769" spans="1:5" x14ac:dyDescent="0.3">
      <c r="A769" s="3" t="s">
        <v>28</v>
      </c>
      <c r="B769" s="3" t="s">
        <v>35</v>
      </c>
      <c r="C769" s="3" t="s">
        <v>11</v>
      </c>
      <c r="D769" s="4">
        <v>172520</v>
      </c>
      <c r="E769" s="4">
        <v>77829</v>
      </c>
    </row>
    <row r="770" spans="1:5" x14ac:dyDescent="0.3">
      <c r="A770" s="3" t="s">
        <v>28</v>
      </c>
      <c r="B770" s="3" t="s">
        <v>35</v>
      </c>
      <c r="C770" s="3" t="s">
        <v>12</v>
      </c>
      <c r="D770" s="4">
        <v>182235</v>
      </c>
      <c r="E770" s="4">
        <v>74389</v>
      </c>
    </row>
    <row r="771" spans="1:5" x14ac:dyDescent="0.3">
      <c r="A771" s="3" t="s">
        <v>28</v>
      </c>
      <c r="B771" s="3" t="s">
        <v>35</v>
      </c>
      <c r="C771" s="3" t="s">
        <v>13</v>
      </c>
      <c r="D771" s="4">
        <v>183818</v>
      </c>
      <c r="E771" s="4">
        <v>133979</v>
      </c>
    </row>
    <row r="772" spans="1:5" x14ac:dyDescent="0.3">
      <c r="A772" s="3" t="s">
        <v>28</v>
      </c>
      <c r="B772" s="3" t="s">
        <v>34</v>
      </c>
      <c r="C772" s="3" t="s">
        <v>2</v>
      </c>
      <c r="D772" s="4">
        <v>2341</v>
      </c>
      <c r="E772" s="4">
        <v>529</v>
      </c>
    </row>
    <row r="773" spans="1:5" x14ac:dyDescent="0.3">
      <c r="A773" s="3" t="s">
        <v>28</v>
      </c>
      <c r="B773" s="3" t="s">
        <v>34</v>
      </c>
      <c r="C773" s="3" t="s">
        <v>3</v>
      </c>
      <c r="D773" s="4">
        <v>1764</v>
      </c>
      <c r="E773" s="4">
        <v>310</v>
      </c>
    </row>
    <row r="774" spans="1:5" x14ac:dyDescent="0.3">
      <c r="A774" s="3" t="s">
        <v>28</v>
      </c>
      <c r="B774" s="3" t="s">
        <v>34</v>
      </c>
      <c r="C774" s="3" t="s">
        <v>4</v>
      </c>
      <c r="D774" s="4">
        <v>1475</v>
      </c>
      <c r="E774" s="4">
        <v>216</v>
      </c>
    </row>
    <row r="775" spans="1:5" x14ac:dyDescent="0.3">
      <c r="A775" s="3" t="s">
        <v>28</v>
      </c>
      <c r="B775" s="3" t="s">
        <v>34</v>
      </c>
      <c r="C775" s="3" t="s">
        <v>5</v>
      </c>
      <c r="D775" s="4">
        <v>1472</v>
      </c>
      <c r="E775" s="4">
        <v>204</v>
      </c>
    </row>
    <row r="776" spans="1:5" x14ac:dyDescent="0.3">
      <c r="A776" s="3" t="s">
        <v>28</v>
      </c>
      <c r="B776" s="3" t="s">
        <v>34</v>
      </c>
      <c r="C776" s="3" t="s">
        <v>6</v>
      </c>
      <c r="D776" s="4">
        <v>1232</v>
      </c>
      <c r="E776" s="4">
        <v>187</v>
      </c>
    </row>
    <row r="777" spans="1:5" x14ac:dyDescent="0.3">
      <c r="A777" s="3" t="s">
        <v>28</v>
      </c>
      <c r="B777" s="3" t="s">
        <v>34</v>
      </c>
      <c r="C777" s="3" t="s">
        <v>7</v>
      </c>
      <c r="D777" s="4">
        <v>7819</v>
      </c>
      <c r="E777" s="4">
        <v>924</v>
      </c>
    </row>
    <row r="778" spans="1:5" x14ac:dyDescent="0.3">
      <c r="A778" s="3" t="s">
        <v>28</v>
      </c>
      <c r="B778" s="3" t="s">
        <v>34</v>
      </c>
      <c r="C778" s="3" t="s">
        <v>8</v>
      </c>
      <c r="D778" s="4">
        <v>14463</v>
      </c>
      <c r="E778" s="4">
        <v>2944</v>
      </c>
    </row>
    <row r="779" spans="1:5" x14ac:dyDescent="0.3">
      <c r="A779" s="3" t="s">
        <v>28</v>
      </c>
      <c r="B779" s="3" t="s">
        <v>34</v>
      </c>
      <c r="C779" s="3" t="s">
        <v>9</v>
      </c>
      <c r="D779" s="4">
        <v>11937</v>
      </c>
      <c r="E779" s="4">
        <v>5365</v>
      </c>
    </row>
    <row r="780" spans="1:5" x14ac:dyDescent="0.3">
      <c r="A780" s="3" t="s">
        <v>28</v>
      </c>
      <c r="B780" s="3" t="s">
        <v>34</v>
      </c>
      <c r="C780" s="3" t="s">
        <v>10</v>
      </c>
      <c r="D780" s="4">
        <v>6797</v>
      </c>
      <c r="E780" s="4">
        <v>563</v>
      </c>
    </row>
    <row r="781" spans="1:5" x14ac:dyDescent="0.3">
      <c r="A781" s="3" t="s">
        <v>28</v>
      </c>
      <c r="B781" s="3" t="s">
        <v>34</v>
      </c>
      <c r="C781" s="3" t="s">
        <v>11</v>
      </c>
      <c r="D781" s="4">
        <v>4795</v>
      </c>
      <c r="E781" s="4">
        <v>636</v>
      </c>
    </row>
    <row r="782" spans="1:5" x14ac:dyDescent="0.3">
      <c r="A782" s="3" t="s">
        <v>28</v>
      </c>
      <c r="B782" s="3" t="s">
        <v>34</v>
      </c>
      <c r="C782" s="3" t="s">
        <v>12</v>
      </c>
      <c r="D782" s="4">
        <v>5476</v>
      </c>
      <c r="E782" s="4">
        <v>1100</v>
      </c>
    </row>
    <row r="783" spans="1:5" x14ac:dyDescent="0.3">
      <c r="A783" s="3" t="s">
        <v>28</v>
      </c>
      <c r="B783" s="3" t="s">
        <v>34</v>
      </c>
      <c r="C783" s="3" t="s">
        <v>13</v>
      </c>
      <c r="D783" s="4">
        <v>4631</v>
      </c>
      <c r="E783" s="4">
        <v>562</v>
      </c>
    </row>
    <row r="784" spans="1:5" x14ac:dyDescent="0.3">
      <c r="A784" s="3" t="s">
        <v>29</v>
      </c>
      <c r="B784" s="3" t="s">
        <v>37</v>
      </c>
      <c r="C784" s="3" t="s">
        <v>2</v>
      </c>
      <c r="D784" s="4">
        <v>46735</v>
      </c>
      <c r="E784" s="4">
        <v>7428</v>
      </c>
    </row>
    <row r="785" spans="1:5" x14ac:dyDescent="0.3">
      <c r="A785" s="3" t="s">
        <v>29</v>
      </c>
      <c r="B785" s="3" t="s">
        <v>37</v>
      </c>
      <c r="C785" s="3" t="s">
        <v>3</v>
      </c>
      <c r="D785" s="4">
        <v>51655</v>
      </c>
      <c r="E785" s="4">
        <v>7743</v>
      </c>
    </row>
    <row r="786" spans="1:5" x14ac:dyDescent="0.3">
      <c r="A786" s="3" t="s">
        <v>29</v>
      </c>
      <c r="B786" s="3" t="s">
        <v>37</v>
      </c>
      <c r="C786" s="3" t="s">
        <v>4</v>
      </c>
      <c r="D786" s="4">
        <v>54328</v>
      </c>
      <c r="E786" s="4">
        <v>9805</v>
      </c>
    </row>
    <row r="787" spans="1:5" x14ac:dyDescent="0.3">
      <c r="A787" s="3" t="s">
        <v>29</v>
      </c>
      <c r="B787" s="3" t="s">
        <v>37</v>
      </c>
      <c r="C787" s="3" t="s">
        <v>5</v>
      </c>
      <c r="D787" s="4">
        <v>53374</v>
      </c>
      <c r="E787" s="4">
        <v>9154</v>
      </c>
    </row>
    <row r="788" spans="1:5" x14ac:dyDescent="0.3">
      <c r="A788" s="3" t="s">
        <v>29</v>
      </c>
      <c r="B788" s="3" t="s">
        <v>37</v>
      </c>
      <c r="C788" s="3" t="s">
        <v>6</v>
      </c>
      <c r="D788" s="4">
        <v>50243</v>
      </c>
      <c r="E788" s="4">
        <v>10163</v>
      </c>
    </row>
    <row r="789" spans="1:5" x14ac:dyDescent="0.3">
      <c r="A789" s="3" t="s">
        <v>29</v>
      </c>
      <c r="B789" s="3" t="s">
        <v>37</v>
      </c>
      <c r="C789" s="3" t="s">
        <v>7</v>
      </c>
      <c r="D789" s="4">
        <v>52918</v>
      </c>
      <c r="E789" s="4">
        <v>8596</v>
      </c>
    </row>
    <row r="790" spans="1:5" x14ac:dyDescent="0.3">
      <c r="A790" s="3" t="s">
        <v>29</v>
      </c>
      <c r="B790" s="3" t="s">
        <v>37</v>
      </c>
      <c r="C790" s="3" t="s">
        <v>8</v>
      </c>
      <c r="D790" s="4">
        <v>52114</v>
      </c>
      <c r="E790" s="4">
        <v>8599</v>
      </c>
    </row>
    <row r="791" spans="1:5" x14ac:dyDescent="0.3">
      <c r="A791" s="3" t="s">
        <v>29</v>
      </c>
      <c r="B791" s="3" t="s">
        <v>37</v>
      </c>
      <c r="C791" s="3" t="s">
        <v>9</v>
      </c>
      <c r="D791" s="4">
        <v>53743</v>
      </c>
      <c r="E791" s="4">
        <v>10443</v>
      </c>
    </row>
    <row r="792" spans="1:5" x14ac:dyDescent="0.3">
      <c r="A792" s="3" t="s">
        <v>29</v>
      </c>
      <c r="B792" s="3" t="s">
        <v>37</v>
      </c>
      <c r="C792" s="3" t="s">
        <v>10</v>
      </c>
      <c r="D792" s="4">
        <v>56912</v>
      </c>
      <c r="E792" s="4">
        <v>8293</v>
      </c>
    </row>
    <row r="793" spans="1:5" x14ac:dyDescent="0.3">
      <c r="A793" s="3" t="s">
        <v>29</v>
      </c>
      <c r="B793" s="3" t="s">
        <v>37</v>
      </c>
      <c r="C793" s="3" t="s">
        <v>11</v>
      </c>
      <c r="D793" s="4">
        <v>57464</v>
      </c>
      <c r="E793" s="4">
        <v>8088</v>
      </c>
    </row>
    <row r="794" spans="1:5" x14ac:dyDescent="0.3">
      <c r="A794" s="3" t="s">
        <v>29</v>
      </c>
      <c r="B794" s="3" t="s">
        <v>37</v>
      </c>
      <c r="C794" s="3" t="s">
        <v>12</v>
      </c>
      <c r="D794" s="4">
        <v>53355</v>
      </c>
      <c r="E794" s="4">
        <v>10887</v>
      </c>
    </row>
    <row r="795" spans="1:5" x14ac:dyDescent="0.3">
      <c r="A795" s="3" t="s">
        <v>29</v>
      </c>
      <c r="B795" s="3" t="s">
        <v>37</v>
      </c>
      <c r="C795" s="3" t="s">
        <v>13</v>
      </c>
      <c r="D795" s="4">
        <v>48362</v>
      </c>
      <c r="E795" s="4">
        <v>17102</v>
      </c>
    </row>
    <row r="796" spans="1:5" x14ac:dyDescent="0.3">
      <c r="A796" s="3" t="s">
        <v>29</v>
      </c>
      <c r="B796" s="3" t="s">
        <v>38</v>
      </c>
      <c r="C796" s="3" t="s">
        <v>2</v>
      </c>
      <c r="D796" s="4">
        <v>49001</v>
      </c>
      <c r="E796" s="4">
        <v>6164</v>
      </c>
    </row>
    <row r="797" spans="1:5" x14ac:dyDescent="0.3">
      <c r="A797" s="3" t="s">
        <v>29</v>
      </c>
      <c r="B797" s="3" t="s">
        <v>38</v>
      </c>
      <c r="C797" s="3" t="s">
        <v>3</v>
      </c>
      <c r="D797" s="4">
        <v>51251</v>
      </c>
      <c r="E797" s="4">
        <v>6013</v>
      </c>
    </row>
    <row r="798" spans="1:5" x14ac:dyDescent="0.3">
      <c r="A798" s="3" t="s">
        <v>29</v>
      </c>
      <c r="B798" s="3" t="s">
        <v>38</v>
      </c>
      <c r="C798" s="3" t="s">
        <v>4</v>
      </c>
      <c r="D798" s="4">
        <v>51362</v>
      </c>
      <c r="E798" s="4">
        <v>7495</v>
      </c>
    </row>
    <row r="799" spans="1:5" x14ac:dyDescent="0.3">
      <c r="A799" s="3" t="s">
        <v>29</v>
      </c>
      <c r="B799" s="3" t="s">
        <v>38</v>
      </c>
      <c r="C799" s="3" t="s">
        <v>5</v>
      </c>
      <c r="D799" s="4">
        <v>53862</v>
      </c>
      <c r="E799" s="4">
        <v>7627</v>
      </c>
    </row>
    <row r="800" spans="1:5" x14ac:dyDescent="0.3">
      <c r="A800" s="3" t="s">
        <v>29</v>
      </c>
      <c r="B800" s="3" t="s">
        <v>38</v>
      </c>
      <c r="C800" s="3" t="s">
        <v>6</v>
      </c>
      <c r="D800" s="4">
        <v>51534</v>
      </c>
      <c r="E800" s="4">
        <v>8905</v>
      </c>
    </row>
    <row r="801" spans="1:5" x14ac:dyDescent="0.3">
      <c r="A801" s="3" t="s">
        <v>29</v>
      </c>
      <c r="B801" s="3" t="s">
        <v>38</v>
      </c>
      <c r="C801" s="3" t="s">
        <v>7</v>
      </c>
      <c r="D801" s="4">
        <v>49870</v>
      </c>
      <c r="E801" s="4">
        <v>7260</v>
      </c>
    </row>
    <row r="802" spans="1:5" x14ac:dyDescent="0.3">
      <c r="A802" s="3" t="s">
        <v>29</v>
      </c>
      <c r="B802" s="3" t="s">
        <v>38</v>
      </c>
      <c r="C802" s="3" t="s">
        <v>8</v>
      </c>
      <c r="D802" s="4">
        <v>52336</v>
      </c>
      <c r="E802" s="4">
        <v>9269</v>
      </c>
    </row>
    <row r="803" spans="1:5" x14ac:dyDescent="0.3">
      <c r="A803" s="3" t="s">
        <v>29</v>
      </c>
      <c r="B803" s="3" t="s">
        <v>38</v>
      </c>
      <c r="C803" s="3" t="s">
        <v>9</v>
      </c>
      <c r="D803" s="4">
        <v>54647</v>
      </c>
      <c r="E803" s="4">
        <v>12225</v>
      </c>
    </row>
    <row r="804" spans="1:5" x14ac:dyDescent="0.3">
      <c r="A804" s="3" t="s">
        <v>29</v>
      </c>
      <c r="B804" s="3" t="s">
        <v>38</v>
      </c>
      <c r="C804" s="3" t="s">
        <v>10</v>
      </c>
      <c r="D804" s="4">
        <v>55527</v>
      </c>
      <c r="E804" s="4">
        <v>7653</v>
      </c>
    </row>
    <row r="805" spans="1:5" x14ac:dyDescent="0.3">
      <c r="A805" s="3" t="s">
        <v>29</v>
      </c>
      <c r="B805" s="3" t="s">
        <v>38</v>
      </c>
      <c r="C805" s="3" t="s">
        <v>11</v>
      </c>
      <c r="D805" s="4">
        <v>64950</v>
      </c>
      <c r="E805" s="4">
        <v>8034</v>
      </c>
    </row>
    <row r="806" spans="1:5" x14ac:dyDescent="0.3">
      <c r="A806" s="3" t="s">
        <v>29</v>
      </c>
      <c r="B806" s="3" t="s">
        <v>38</v>
      </c>
      <c r="C806" s="3" t="s">
        <v>12</v>
      </c>
      <c r="D806" s="4">
        <v>60322</v>
      </c>
      <c r="E806" s="4">
        <v>13357</v>
      </c>
    </row>
    <row r="807" spans="1:5" x14ac:dyDescent="0.3">
      <c r="A807" s="3" t="s">
        <v>29</v>
      </c>
      <c r="B807" s="3" t="s">
        <v>38</v>
      </c>
      <c r="C807" s="3" t="s">
        <v>13</v>
      </c>
      <c r="D807" s="4">
        <v>53754</v>
      </c>
      <c r="E807" s="4">
        <v>21707</v>
      </c>
    </row>
    <row r="808" spans="1:5" x14ac:dyDescent="0.3">
      <c r="A808" s="3" t="s">
        <v>29</v>
      </c>
      <c r="B808" s="3" t="s">
        <v>36</v>
      </c>
      <c r="C808" s="3" t="s">
        <v>2</v>
      </c>
      <c r="D808" s="4">
        <v>25070</v>
      </c>
      <c r="E808" s="4">
        <v>5704</v>
      </c>
    </row>
    <row r="809" spans="1:5" x14ac:dyDescent="0.3">
      <c r="A809" s="3" t="s">
        <v>29</v>
      </c>
      <c r="B809" s="3" t="s">
        <v>36</v>
      </c>
      <c r="C809" s="3" t="s">
        <v>3</v>
      </c>
      <c r="D809" s="4">
        <v>25723</v>
      </c>
      <c r="E809" s="4">
        <v>4922</v>
      </c>
    </row>
    <row r="810" spans="1:5" x14ac:dyDescent="0.3">
      <c r="A810" s="3" t="s">
        <v>29</v>
      </c>
      <c r="B810" s="3" t="s">
        <v>36</v>
      </c>
      <c r="C810" s="3" t="s">
        <v>4</v>
      </c>
      <c r="D810" s="4">
        <v>24187</v>
      </c>
      <c r="E810" s="4">
        <v>4798</v>
      </c>
    </row>
    <row r="811" spans="1:5" x14ac:dyDescent="0.3">
      <c r="A811" s="3" t="s">
        <v>29</v>
      </c>
      <c r="B811" s="3" t="s">
        <v>36</v>
      </c>
      <c r="C811" s="3" t="s">
        <v>5</v>
      </c>
      <c r="D811" s="4">
        <v>26548</v>
      </c>
      <c r="E811" s="4">
        <v>5192</v>
      </c>
    </row>
    <row r="812" spans="1:5" x14ac:dyDescent="0.3">
      <c r="A812" s="3" t="s">
        <v>29</v>
      </c>
      <c r="B812" s="3" t="s">
        <v>36</v>
      </c>
      <c r="C812" s="3" t="s">
        <v>6</v>
      </c>
      <c r="D812" s="4">
        <v>26175</v>
      </c>
      <c r="E812" s="4">
        <v>6018</v>
      </c>
    </row>
    <row r="813" spans="1:5" x14ac:dyDescent="0.3">
      <c r="A813" s="3" t="s">
        <v>29</v>
      </c>
      <c r="B813" s="3" t="s">
        <v>36</v>
      </c>
      <c r="C813" s="3" t="s">
        <v>7</v>
      </c>
      <c r="D813" s="4">
        <v>24805</v>
      </c>
      <c r="E813" s="4">
        <v>4426</v>
      </c>
    </row>
    <row r="814" spans="1:5" x14ac:dyDescent="0.3">
      <c r="A814" s="3" t="s">
        <v>29</v>
      </c>
      <c r="B814" s="3" t="s">
        <v>36</v>
      </c>
      <c r="C814" s="3" t="s">
        <v>8</v>
      </c>
      <c r="D814" s="4">
        <v>23236</v>
      </c>
      <c r="E814" s="4">
        <v>5721</v>
      </c>
    </row>
    <row r="815" spans="1:5" x14ac:dyDescent="0.3">
      <c r="A815" s="3" t="s">
        <v>29</v>
      </c>
      <c r="B815" s="3" t="s">
        <v>36</v>
      </c>
      <c r="C815" s="3" t="s">
        <v>9</v>
      </c>
      <c r="D815" s="4">
        <v>24612</v>
      </c>
      <c r="E815" s="4">
        <v>7015</v>
      </c>
    </row>
    <row r="816" spans="1:5" x14ac:dyDescent="0.3">
      <c r="A816" s="3" t="s">
        <v>29</v>
      </c>
      <c r="B816" s="3" t="s">
        <v>36</v>
      </c>
      <c r="C816" s="3" t="s">
        <v>10</v>
      </c>
      <c r="D816" s="4">
        <v>24917</v>
      </c>
      <c r="E816" s="4">
        <v>5305</v>
      </c>
    </row>
    <row r="817" spans="1:5" x14ac:dyDescent="0.3">
      <c r="A817" s="3" t="s">
        <v>29</v>
      </c>
      <c r="B817" s="3" t="s">
        <v>36</v>
      </c>
      <c r="C817" s="3" t="s">
        <v>11</v>
      </c>
      <c r="D817" s="4">
        <v>29384</v>
      </c>
      <c r="E817" s="4">
        <v>5571</v>
      </c>
    </row>
    <row r="818" spans="1:5" x14ac:dyDescent="0.3">
      <c r="A818" s="3" t="s">
        <v>29</v>
      </c>
      <c r="B818" s="3" t="s">
        <v>36</v>
      </c>
      <c r="C818" s="3" t="s">
        <v>12</v>
      </c>
      <c r="D818" s="4">
        <v>28491</v>
      </c>
      <c r="E818" s="4">
        <v>8058</v>
      </c>
    </row>
    <row r="819" spans="1:5" x14ac:dyDescent="0.3">
      <c r="A819" s="3" t="s">
        <v>29</v>
      </c>
      <c r="B819" s="3" t="s">
        <v>36</v>
      </c>
      <c r="C819" s="3" t="s">
        <v>13</v>
      </c>
      <c r="D819" s="4">
        <v>26524</v>
      </c>
      <c r="E819" s="4">
        <v>13357</v>
      </c>
    </row>
    <row r="820" spans="1:5" x14ac:dyDescent="0.3">
      <c r="A820" s="3" t="s">
        <v>29</v>
      </c>
      <c r="B820" s="3" t="s">
        <v>35</v>
      </c>
      <c r="C820" s="3" t="s">
        <v>2</v>
      </c>
      <c r="D820" s="4">
        <v>83388</v>
      </c>
      <c r="E820" s="4">
        <v>12897</v>
      </c>
    </row>
    <row r="821" spans="1:5" x14ac:dyDescent="0.3">
      <c r="A821" s="3" t="s">
        <v>29</v>
      </c>
      <c r="B821" s="3" t="s">
        <v>35</v>
      </c>
      <c r="C821" s="3" t="s">
        <v>3</v>
      </c>
      <c r="D821" s="4">
        <v>86252</v>
      </c>
      <c r="E821" s="4">
        <v>11350</v>
      </c>
    </row>
    <row r="822" spans="1:5" x14ac:dyDescent="0.3">
      <c r="A822" s="3" t="s">
        <v>29</v>
      </c>
      <c r="B822" s="3" t="s">
        <v>35</v>
      </c>
      <c r="C822" s="3" t="s">
        <v>4</v>
      </c>
      <c r="D822" s="4">
        <v>95148</v>
      </c>
      <c r="E822" s="4">
        <v>13387</v>
      </c>
    </row>
    <row r="823" spans="1:5" x14ac:dyDescent="0.3">
      <c r="A823" s="3" t="s">
        <v>29</v>
      </c>
      <c r="B823" s="3" t="s">
        <v>35</v>
      </c>
      <c r="C823" s="3" t="s">
        <v>5</v>
      </c>
      <c r="D823" s="4">
        <v>102416</v>
      </c>
      <c r="E823" s="4">
        <v>12754</v>
      </c>
    </row>
    <row r="824" spans="1:5" x14ac:dyDescent="0.3">
      <c r="A824" s="3" t="s">
        <v>29</v>
      </c>
      <c r="B824" s="3" t="s">
        <v>35</v>
      </c>
      <c r="C824" s="3" t="s">
        <v>6</v>
      </c>
      <c r="D824" s="4">
        <v>101179</v>
      </c>
      <c r="E824" s="4">
        <v>15393</v>
      </c>
    </row>
    <row r="825" spans="1:5" x14ac:dyDescent="0.3">
      <c r="A825" s="3" t="s">
        <v>29</v>
      </c>
      <c r="B825" s="3" t="s">
        <v>35</v>
      </c>
      <c r="C825" s="3" t="s">
        <v>7</v>
      </c>
      <c r="D825" s="4">
        <v>90219</v>
      </c>
      <c r="E825" s="4">
        <v>11113</v>
      </c>
    </row>
    <row r="826" spans="1:5" x14ac:dyDescent="0.3">
      <c r="A826" s="3" t="s">
        <v>29</v>
      </c>
      <c r="B826" s="3" t="s">
        <v>35</v>
      </c>
      <c r="C826" s="3" t="s">
        <v>8</v>
      </c>
      <c r="D826" s="4">
        <v>87747</v>
      </c>
      <c r="E826" s="4">
        <v>12937</v>
      </c>
    </row>
    <row r="827" spans="1:5" x14ac:dyDescent="0.3">
      <c r="A827" s="3" t="s">
        <v>29</v>
      </c>
      <c r="B827" s="3" t="s">
        <v>35</v>
      </c>
      <c r="C827" s="3" t="s">
        <v>9</v>
      </c>
      <c r="D827" s="4">
        <v>79527</v>
      </c>
      <c r="E827" s="4">
        <v>12899</v>
      </c>
    </row>
    <row r="828" spans="1:5" x14ac:dyDescent="0.3">
      <c r="A828" s="3" t="s">
        <v>29</v>
      </c>
      <c r="B828" s="3" t="s">
        <v>35</v>
      </c>
      <c r="C828" s="3" t="s">
        <v>10</v>
      </c>
      <c r="D828" s="4">
        <v>78498</v>
      </c>
      <c r="E828" s="4">
        <v>11063</v>
      </c>
    </row>
    <row r="829" spans="1:5" x14ac:dyDescent="0.3">
      <c r="A829" s="3" t="s">
        <v>29</v>
      </c>
      <c r="B829" s="3" t="s">
        <v>35</v>
      </c>
      <c r="C829" s="3" t="s">
        <v>11</v>
      </c>
      <c r="D829" s="4">
        <v>75582</v>
      </c>
      <c r="E829" s="4">
        <v>11768</v>
      </c>
    </row>
    <row r="830" spans="1:5" x14ac:dyDescent="0.3">
      <c r="A830" s="3" t="s">
        <v>29</v>
      </c>
      <c r="B830" s="3" t="s">
        <v>35</v>
      </c>
      <c r="C830" s="3" t="s">
        <v>12</v>
      </c>
      <c r="D830" s="4">
        <v>78635</v>
      </c>
      <c r="E830" s="4">
        <v>21874</v>
      </c>
    </row>
    <row r="831" spans="1:5" x14ac:dyDescent="0.3">
      <c r="A831" s="3" t="s">
        <v>29</v>
      </c>
      <c r="B831" s="3" t="s">
        <v>35</v>
      </c>
      <c r="C831" s="3" t="s">
        <v>13</v>
      </c>
      <c r="D831" s="4">
        <v>67548</v>
      </c>
      <c r="E831" s="4">
        <v>34583</v>
      </c>
    </row>
    <row r="832" spans="1:5" x14ac:dyDescent="0.3">
      <c r="A832" s="3" t="s">
        <v>29</v>
      </c>
      <c r="B832" s="3" t="s">
        <v>34</v>
      </c>
      <c r="C832" s="3" t="s">
        <v>2</v>
      </c>
      <c r="D832" s="4">
        <v>2666</v>
      </c>
      <c r="E832" s="4">
        <v>191</v>
      </c>
    </row>
    <row r="833" spans="1:5" x14ac:dyDescent="0.3">
      <c r="A833" s="3" t="s">
        <v>29</v>
      </c>
      <c r="B833" s="3" t="s">
        <v>34</v>
      </c>
      <c r="C833" s="3" t="s">
        <v>3</v>
      </c>
      <c r="D833" s="4">
        <v>2458</v>
      </c>
      <c r="E833" s="4">
        <v>147</v>
      </c>
    </row>
    <row r="834" spans="1:5" x14ac:dyDescent="0.3">
      <c r="A834" s="3" t="s">
        <v>29</v>
      </c>
      <c r="B834" s="3" t="s">
        <v>34</v>
      </c>
      <c r="C834" s="3" t="s">
        <v>4</v>
      </c>
      <c r="D834" s="4">
        <v>2376</v>
      </c>
      <c r="E834" s="4">
        <v>128</v>
      </c>
    </row>
    <row r="835" spans="1:5" x14ac:dyDescent="0.3">
      <c r="A835" s="3" t="s">
        <v>29</v>
      </c>
      <c r="B835" s="3" t="s">
        <v>34</v>
      </c>
      <c r="C835" s="3" t="s">
        <v>5</v>
      </c>
      <c r="D835" s="4">
        <v>2253</v>
      </c>
      <c r="E835" s="4">
        <v>105</v>
      </c>
    </row>
    <row r="836" spans="1:5" x14ac:dyDescent="0.3">
      <c r="A836" s="3" t="s">
        <v>29</v>
      </c>
      <c r="B836" s="3" t="s">
        <v>34</v>
      </c>
      <c r="C836" s="3" t="s">
        <v>6</v>
      </c>
      <c r="D836" s="4">
        <v>2148</v>
      </c>
      <c r="E836" s="4">
        <v>90</v>
      </c>
    </row>
    <row r="837" spans="1:5" x14ac:dyDescent="0.3">
      <c r="A837" s="3" t="s">
        <v>29</v>
      </c>
      <c r="B837" s="3" t="s">
        <v>34</v>
      </c>
      <c r="C837" s="3" t="s">
        <v>7</v>
      </c>
      <c r="D837" s="4">
        <v>2064</v>
      </c>
      <c r="E837" s="4">
        <v>76</v>
      </c>
    </row>
    <row r="838" spans="1:5" x14ac:dyDescent="0.3">
      <c r="A838" s="3" t="s">
        <v>29</v>
      </c>
      <c r="B838" s="3" t="s">
        <v>34</v>
      </c>
      <c r="C838" s="3" t="s">
        <v>8</v>
      </c>
      <c r="D838" s="4">
        <v>3823</v>
      </c>
      <c r="E838" s="4">
        <v>493</v>
      </c>
    </row>
    <row r="839" spans="1:5" x14ac:dyDescent="0.3">
      <c r="A839" s="3" t="s">
        <v>29</v>
      </c>
      <c r="B839" s="3" t="s">
        <v>34</v>
      </c>
      <c r="C839" s="3" t="s">
        <v>9</v>
      </c>
      <c r="D839" s="4">
        <v>4950</v>
      </c>
      <c r="E839" s="4">
        <v>1499</v>
      </c>
    </row>
    <row r="840" spans="1:5" x14ac:dyDescent="0.3">
      <c r="A840" s="3" t="s">
        <v>29</v>
      </c>
      <c r="B840" s="3" t="s">
        <v>34</v>
      </c>
      <c r="C840" s="3" t="s">
        <v>10</v>
      </c>
      <c r="D840" s="4">
        <v>3741</v>
      </c>
      <c r="E840" s="4">
        <v>326</v>
      </c>
    </row>
    <row r="841" spans="1:5" x14ac:dyDescent="0.3">
      <c r="A841" s="3" t="s">
        <v>29</v>
      </c>
      <c r="B841" s="3" t="s">
        <v>34</v>
      </c>
      <c r="C841" s="3" t="s">
        <v>11</v>
      </c>
      <c r="D841" s="4">
        <v>3485</v>
      </c>
      <c r="E841" s="4">
        <v>324</v>
      </c>
    </row>
    <row r="842" spans="1:5" x14ac:dyDescent="0.3">
      <c r="A842" s="3" t="s">
        <v>29</v>
      </c>
      <c r="B842" s="3" t="s">
        <v>34</v>
      </c>
      <c r="C842" s="3" t="s">
        <v>12</v>
      </c>
      <c r="D842" s="4">
        <v>3330</v>
      </c>
      <c r="E842" s="4">
        <v>481</v>
      </c>
    </row>
    <row r="843" spans="1:5" x14ac:dyDescent="0.3">
      <c r="A843" s="3" t="s">
        <v>29</v>
      </c>
      <c r="B843" s="3" t="s">
        <v>34</v>
      </c>
      <c r="C843" s="3" t="s">
        <v>13</v>
      </c>
      <c r="D843" s="4">
        <v>2940</v>
      </c>
      <c r="E843" s="4">
        <v>359</v>
      </c>
    </row>
    <row r="844" spans="1:5" x14ac:dyDescent="0.3">
      <c r="A844" s="3" t="s">
        <v>30</v>
      </c>
      <c r="B844" s="3" t="s">
        <v>37</v>
      </c>
      <c r="C844" s="3" t="s">
        <v>2</v>
      </c>
      <c r="D844" s="4">
        <v>118592</v>
      </c>
      <c r="E844" s="4">
        <v>56646</v>
      </c>
    </row>
    <row r="845" spans="1:5" x14ac:dyDescent="0.3">
      <c r="A845" s="3" t="s">
        <v>30</v>
      </c>
      <c r="B845" s="3" t="s">
        <v>37</v>
      </c>
      <c r="C845" s="3" t="s">
        <v>3</v>
      </c>
      <c r="D845" s="4">
        <v>147827</v>
      </c>
      <c r="E845" s="4">
        <v>64902</v>
      </c>
    </row>
    <row r="846" spans="1:5" x14ac:dyDescent="0.3">
      <c r="A846" s="3" t="s">
        <v>30</v>
      </c>
      <c r="B846" s="3" t="s">
        <v>37</v>
      </c>
      <c r="C846" s="3" t="s">
        <v>4</v>
      </c>
      <c r="D846" s="4">
        <v>166048</v>
      </c>
      <c r="E846" s="4">
        <v>76832</v>
      </c>
    </row>
    <row r="847" spans="1:5" x14ac:dyDescent="0.3">
      <c r="A847" s="3" t="s">
        <v>30</v>
      </c>
      <c r="B847" s="3" t="s">
        <v>37</v>
      </c>
      <c r="C847" s="3" t="s">
        <v>5</v>
      </c>
      <c r="D847" s="4">
        <v>144730</v>
      </c>
      <c r="E847" s="4">
        <v>63535</v>
      </c>
    </row>
    <row r="848" spans="1:5" x14ac:dyDescent="0.3">
      <c r="A848" s="3" t="s">
        <v>30</v>
      </c>
      <c r="B848" s="3" t="s">
        <v>37</v>
      </c>
      <c r="C848" s="3" t="s">
        <v>6</v>
      </c>
      <c r="D848" s="4">
        <v>140328</v>
      </c>
      <c r="E848" s="4">
        <v>67440</v>
      </c>
    </row>
    <row r="849" spans="1:5" x14ac:dyDescent="0.3">
      <c r="A849" s="3" t="s">
        <v>30</v>
      </c>
      <c r="B849" s="3" t="s">
        <v>37</v>
      </c>
      <c r="C849" s="3" t="s">
        <v>7</v>
      </c>
      <c r="D849" s="4">
        <v>166411</v>
      </c>
      <c r="E849" s="4">
        <v>72667</v>
      </c>
    </row>
    <row r="850" spans="1:5" x14ac:dyDescent="0.3">
      <c r="A850" s="3" t="s">
        <v>30</v>
      </c>
      <c r="B850" s="3" t="s">
        <v>37</v>
      </c>
      <c r="C850" s="3" t="s">
        <v>8</v>
      </c>
      <c r="D850" s="4">
        <v>147313</v>
      </c>
      <c r="E850" s="4">
        <v>63968</v>
      </c>
    </row>
    <row r="851" spans="1:5" x14ac:dyDescent="0.3">
      <c r="A851" s="3" t="s">
        <v>30</v>
      </c>
      <c r="B851" s="3" t="s">
        <v>37</v>
      </c>
      <c r="C851" s="3" t="s">
        <v>9</v>
      </c>
      <c r="D851" s="4">
        <v>168493</v>
      </c>
      <c r="E851" s="4">
        <v>79055</v>
      </c>
    </row>
    <row r="852" spans="1:5" x14ac:dyDescent="0.3">
      <c r="A852" s="3" t="s">
        <v>30</v>
      </c>
      <c r="B852" s="3" t="s">
        <v>37</v>
      </c>
      <c r="C852" s="3" t="s">
        <v>10</v>
      </c>
      <c r="D852" s="4">
        <v>170749</v>
      </c>
      <c r="E852" s="4">
        <v>66099</v>
      </c>
    </row>
    <row r="853" spans="1:5" x14ac:dyDescent="0.3">
      <c r="A853" s="3" t="s">
        <v>30</v>
      </c>
      <c r="B853" s="3" t="s">
        <v>37</v>
      </c>
      <c r="C853" s="3" t="s">
        <v>11</v>
      </c>
      <c r="D853" s="4">
        <v>145880</v>
      </c>
      <c r="E853" s="4">
        <v>64689</v>
      </c>
    </row>
    <row r="854" spans="1:5" x14ac:dyDescent="0.3">
      <c r="A854" s="3" t="s">
        <v>30</v>
      </c>
      <c r="B854" s="3" t="s">
        <v>37</v>
      </c>
      <c r="C854" s="3" t="s">
        <v>12</v>
      </c>
      <c r="D854" s="4">
        <v>136603</v>
      </c>
      <c r="E854" s="4">
        <v>72554</v>
      </c>
    </row>
    <row r="855" spans="1:5" x14ac:dyDescent="0.3">
      <c r="A855" s="3" t="s">
        <v>30</v>
      </c>
      <c r="B855" s="3" t="s">
        <v>37</v>
      </c>
      <c r="C855" s="3" t="s">
        <v>13</v>
      </c>
      <c r="D855" s="4">
        <v>149283</v>
      </c>
      <c r="E855" s="4">
        <v>92099</v>
      </c>
    </row>
    <row r="856" spans="1:5" x14ac:dyDescent="0.3">
      <c r="A856" s="3" t="s">
        <v>30</v>
      </c>
      <c r="B856" s="3" t="s">
        <v>38</v>
      </c>
      <c r="C856" s="3" t="s">
        <v>2</v>
      </c>
      <c r="D856" s="4">
        <v>121308</v>
      </c>
      <c r="E856" s="4">
        <v>52468</v>
      </c>
    </row>
    <row r="857" spans="1:5" x14ac:dyDescent="0.3">
      <c r="A857" s="3" t="s">
        <v>30</v>
      </c>
      <c r="B857" s="3" t="s">
        <v>38</v>
      </c>
      <c r="C857" s="3" t="s">
        <v>3</v>
      </c>
      <c r="D857" s="4">
        <v>139897</v>
      </c>
      <c r="E857" s="4">
        <v>56626</v>
      </c>
    </row>
    <row r="858" spans="1:5" x14ac:dyDescent="0.3">
      <c r="A858" s="3" t="s">
        <v>30</v>
      </c>
      <c r="B858" s="3" t="s">
        <v>38</v>
      </c>
      <c r="C858" s="3" t="s">
        <v>4</v>
      </c>
      <c r="D858" s="4">
        <v>169154</v>
      </c>
      <c r="E858" s="4">
        <v>73993</v>
      </c>
    </row>
    <row r="859" spans="1:5" x14ac:dyDescent="0.3">
      <c r="A859" s="3" t="s">
        <v>30</v>
      </c>
      <c r="B859" s="3" t="s">
        <v>38</v>
      </c>
      <c r="C859" s="3" t="s">
        <v>5</v>
      </c>
      <c r="D859" s="4">
        <v>148648</v>
      </c>
      <c r="E859" s="4">
        <v>57220</v>
      </c>
    </row>
    <row r="860" spans="1:5" x14ac:dyDescent="0.3">
      <c r="A860" s="3" t="s">
        <v>30</v>
      </c>
      <c r="B860" s="3" t="s">
        <v>38</v>
      </c>
      <c r="C860" s="3" t="s">
        <v>6</v>
      </c>
      <c r="D860" s="4">
        <v>143222</v>
      </c>
      <c r="E860" s="4">
        <v>64282</v>
      </c>
    </row>
    <row r="861" spans="1:5" x14ac:dyDescent="0.3">
      <c r="A861" s="3" t="s">
        <v>30</v>
      </c>
      <c r="B861" s="3" t="s">
        <v>38</v>
      </c>
      <c r="C861" s="3" t="s">
        <v>7</v>
      </c>
      <c r="D861" s="4">
        <v>158476</v>
      </c>
      <c r="E861" s="4">
        <v>60261</v>
      </c>
    </row>
    <row r="862" spans="1:5" x14ac:dyDescent="0.3">
      <c r="A862" s="3" t="s">
        <v>30</v>
      </c>
      <c r="B862" s="3" t="s">
        <v>38</v>
      </c>
      <c r="C862" s="3" t="s">
        <v>8</v>
      </c>
      <c r="D862" s="4">
        <v>199964</v>
      </c>
      <c r="E862" s="4">
        <v>78413</v>
      </c>
    </row>
    <row r="863" spans="1:5" x14ac:dyDescent="0.3">
      <c r="A863" s="3" t="s">
        <v>30</v>
      </c>
      <c r="B863" s="3" t="s">
        <v>38</v>
      </c>
      <c r="C863" s="3" t="s">
        <v>9</v>
      </c>
      <c r="D863" s="4">
        <v>248904</v>
      </c>
      <c r="E863" s="4">
        <v>83393</v>
      </c>
    </row>
    <row r="864" spans="1:5" x14ac:dyDescent="0.3">
      <c r="A864" s="3" t="s">
        <v>30</v>
      </c>
      <c r="B864" s="3" t="s">
        <v>38</v>
      </c>
      <c r="C864" s="3" t="s">
        <v>10</v>
      </c>
      <c r="D864" s="4">
        <v>225615</v>
      </c>
      <c r="E864" s="4">
        <v>62532</v>
      </c>
    </row>
    <row r="865" spans="1:5" x14ac:dyDescent="0.3">
      <c r="A865" s="3" t="s">
        <v>30</v>
      </c>
      <c r="B865" s="3" t="s">
        <v>38</v>
      </c>
      <c r="C865" s="3" t="s">
        <v>11</v>
      </c>
      <c r="D865" s="4">
        <v>196183</v>
      </c>
      <c r="E865" s="4">
        <v>63115</v>
      </c>
    </row>
    <row r="866" spans="1:5" x14ac:dyDescent="0.3">
      <c r="A866" s="3" t="s">
        <v>30</v>
      </c>
      <c r="B866" s="3" t="s">
        <v>38</v>
      </c>
      <c r="C866" s="3" t="s">
        <v>12</v>
      </c>
      <c r="D866" s="4">
        <v>183527</v>
      </c>
      <c r="E866" s="4">
        <v>69351</v>
      </c>
    </row>
    <row r="867" spans="1:5" x14ac:dyDescent="0.3">
      <c r="A867" s="3" t="s">
        <v>30</v>
      </c>
      <c r="B867" s="3" t="s">
        <v>38</v>
      </c>
      <c r="C867" s="3" t="s">
        <v>13</v>
      </c>
      <c r="D867" s="4">
        <v>173264</v>
      </c>
      <c r="E867" s="4">
        <v>105775</v>
      </c>
    </row>
    <row r="868" spans="1:5" x14ac:dyDescent="0.3">
      <c r="A868" s="3" t="s">
        <v>30</v>
      </c>
      <c r="B868" s="3" t="s">
        <v>36</v>
      </c>
      <c r="C868" s="3" t="s">
        <v>2</v>
      </c>
      <c r="D868" s="4">
        <v>40410</v>
      </c>
      <c r="E868" s="4">
        <v>19097</v>
      </c>
    </row>
    <row r="869" spans="1:5" x14ac:dyDescent="0.3">
      <c r="A869" s="3" t="s">
        <v>30</v>
      </c>
      <c r="B869" s="3" t="s">
        <v>36</v>
      </c>
      <c r="C869" s="3" t="s">
        <v>3</v>
      </c>
      <c r="D869" s="4">
        <v>39155</v>
      </c>
      <c r="E869" s="4">
        <v>15640</v>
      </c>
    </row>
    <row r="870" spans="1:5" x14ac:dyDescent="0.3">
      <c r="A870" s="3" t="s">
        <v>30</v>
      </c>
      <c r="B870" s="3" t="s">
        <v>36</v>
      </c>
      <c r="C870" s="3" t="s">
        <v>4</v>
      </c>
      <c r="D870" s="4">
        <v>41186</v>
      </c>
      <c r="E870" s="4">
        <v>16717</v>
      </c>
    </row>
    <row r="871" spans="1:5" x14ac:dyDescent="0.3">
      <c r="A871" s="3" t="s">
        <v>30</v>
      </c>
      <c r="B871" s="3" t="s">
        <v>36</v>
      </c>
      <c r="C871" s="3" t="s">
        <v>5</v>
      </c>
      <c r="D871" s="4">
        <v>58808</v>
      </c>
      <c r="E871" s="4">
        <v>17282</v>
      </c>
    </row>
    <row r="872" spans="1:5" x14ac:dyDescent="0.3">
      <c r="A872" s="3" t="s">
        <v>30</v>
      </c>
      <c r="B872" s="3" t="s">
        <v>36</v>
      </c>
      <c r="C872" s="3" t="s">
        <v>6</v>
      </c>
      <c r="D872" s="4">
        <v>54419</v>
      </c>
      <c r="E872" s="4">
        <v>19095</v>
      </c>
    </row>
    <row r="873" spans="1:5" x14ac:dyDescent="0.3">
      <c r="A873" s="3" t="s">
        <v>30</v>
      </c>
      <c r="B873" s="3" t="s">
        <v>36</v>
      </c>
      <c r="C873" s="3" t="s">
        <v>7</v>
      </c>
      <c r="D873" s="4">
        <v>45719</v>
      </c>
      <c r="E873" s="4">
        <v>18020</v>
      </c>
    </row>
    <row r="874" spans="1:5" x14ac:dyDescent="0.3">
      <c r="A874" s="3" t="s">
        <v>30</v>
      </c>
      <c r="B874" s="3" t="s">
        <v>36</v>
      </c>
      <c r="C874" s="3" t="s">
        <v>8</v>
      </c>
      <c r="D874" s="4">
        <v>47515</v>
      </c>
      <c r="E874" s="4">
        <v>19574</v>
      </c>
    </row>
    <row r="875" spans="1:5" x14ac:dyDescent="0.3">
      <c r="A875" s="3" t="s">
        <v>30</v>
      </c>
      <c r="B875" s="3" t="s">
        <v>36</v>
      </c>
      <c r="C875" s="3" t="s">
        <v>9</v>
      </c>
      <c r="D875" s="4">
        <v>45906</v>
      </c>
      <c r="E875" s="4">
        <v>20887</v>
      </c>
    </row>
    <row r="876" spans="1:5" x14ac:dyDescent="0.3">
      <c r="A876" s="3" t="s">
        <v>30</v>
      </c>
      <c r="B876" s="3" t="s">
        <v>36</v>
      </c>
      <c r="C876" s="3" t="s">
        <v>10</v>
      </c>
      <c r="D876" s="4">
        <v>68746</v>
      </c>
      <c r="E876" s="4">
        <v>16213</v>
      </c>
    </row>
    <row r="877" spans="1:5" x14ac:dyDescent="0.3">
      <c r="A877" s="3" t="s">
        <v>30</v>
      </c>
      <c r="B877" s="3" t="s">
        <v>36</v>
      </c>
      <c r="C877" s="3" t="s">
        <v>11</v>
      </c>
      <c r="D877" s="4">
        <v>80211</v>
      </c>
      <c r="E877" s="4">
        <v>19407</v>
      </c>
    </row>
    <row r="878" spans="1:5" x14ac:dyDescent="0.3">
      <c r="A878" s="3" t="s">
        <v>30</v>
      </c>
      <c r="B878" s="3" t="s">
        <v>36</v>
      </c>
      <c r="C878" s="3" t="s">
        <v>12</v>
      </c>
      <c r="D878" s="4">
        <v>81327</v>
      </c>
      <c r="E878" s="4">
        <v>24971</v>
      </c>
    </row>
    <row r="879" spans="1:5" x14ac:dyDescent="0.3">
      <c r="A879" s="3" t="s">
        <v>30</v>
      </c>
      <c r="B879" s="3" t="s">
        <v>36</v>
      </c>
      <c r="C879" s="3" t="s">
        <v>13</v>
      </c>
      <c r="D879" s="4">
        <v>84426</v>
      </c>
      <c r="E879" s="4">
        <v>37827</v>
      </c>
    </row>
    <row r="880" spans="1:5" x14ac:dyDescent="0.3">
      <c r="A880" s="3" t="s">
        <v>30</v>
      </c>
      <c r="B880" s="3" t="s">
        <v>35</v>
      </c>
      <c r="C880" s="3" t="s">
        <v>2</v>
      </c>
      <c r="D880" s="4">
        <v>141917</v>
      </c>
      <c r="E880" s="4">
        <v>66771</v>
      </c>
    </row>
    <row r="881" spans="1:5" x14ac:dyDescent="0.3">
      <c r="A881" s="3" t="s">
        <v>30</v>
      </c>
      <c r="B881" s="3" t="s">
        <v>35</v>
      </c>
      <c r="C881" s="3" t="s">
        <v>3</v>
      </c>
      <c r="D881" s="4">
        <v>177144</v>
      </c>
      <c r="E881" s="4">
        <v>70916</v>
      </c>
    </row>
    <row r="882" spans="1:5" x14ac:dyDescent="0.3">
      <c r="A882" s="3" t="s">
        <v>30</v>
      </c>
      <c r="B882" s="3" t="s">
        <v>35</v>
      </c>
      <c r="C882" s="3" t="s">
        <v>4</v>
      </c>
      <c r="D882" s="4">
        <v>241178</v>
      </c>
      <c r="E882" s="4">
        <v>91646</v>
      </c>
    </row>
    <row r="883" spans="1:5" x14ac:dyDescent="0.3">
      <c r="A883" s="3" t="s">
        <v>30</v>
      </c>
      <c r="B883" s="3" t="s">
        <v>35</v>
      </c>
      <c r="C883" s="3" t="s">
        <v>5</v>
      </c>
      <c r="D883" s="4">
        <v>252049</v>
      </c>
      <c r="E883" s="4">
        <v>70986</v>
      </c>
    </row>
    <row r="884" spans="1:5" x14ac:dyDescent="0.3">
      <c r="A884" s="3" t="s">
        <v>30</v>
      </c>
      <c r="B884" s="3" t="s">
        <v>35</v>
      </c>
      <c r="C884" s="3" t="s">
        <v>6</v>
      </c>
      <c r="D884" s="4">
        <v>244465</v>
      </c>
      <c r="E884" s="4">
        <v>79742</v>
      </c>
    </row>
    <row r="885" spans="1:5" x14ac:dyDescent="0.3">
      <c r="A885" s="3" t="s">
        <v>30</v>
      </c>
      <c r="B885" s="3" t="s">
        <v>35</v>
      </c>
      <c r="C885" s="3" t="s">
        <v>7</v>
      </c>
      <c r="D885" s="4">
        <v>206356</v>
      </c>
      <c r="E885" s="4">
        <v>72016</v>
      </c>
    </row>
    <row r="886" spans="1:5" x14ac:dyDescent="0.3">
      <c r="A886" s="3" t="s">
        <v>30</v>
      </c>
      <c r="B886" s="3" t="s">
        <v>35</v>
      </c>
      <c r="C886" s="3" t="s">
        <v>8</v>
      </c>
      <c r="D886" s="4">
        <v>191351</v>
      </c>
      <c r="E886" s="4">
        <v>80180</v>
      </c>
    </row>
    <row r="887" spans="1:5" x14ac:dyDescent="0.3">
      <c r="A887" s="3" t="s">
        <v>30</v>
      </c>
      <c r="B887" s="3" t="s">
        <v>35</v>
      </c>
      <c r="C887" s="3" t="s">
        <v>9</v>
      </c>
      <c r="D887" s="4">
        <v>195066</v>
      </c>
      <c r="E887" s="4">
        <v>80708</v>
      </c>
    </row>
    <row r="888" spans="1:5" x14ac:dyDescent="0.3">
      <c r="A888" s="3" t="s">
        <v>30</v>
      </c>
      <c r="B888" s="3" t="s">
        <v>35</v>
      </c>
      <c r="C888" s="3" t="s">
        <v>10</v>
      </c>
      <c r="D888" s="4">
        <v>263362</v>
      </c>
      <c r="E888" s="4">
        <v>86552</v>
      </c>
    </row>
    <row r="889" spans="1:5" x14ac:dyDescent="0.3">
      <c r="A889" s="3" t="s">
        <v>30</v>
      </c>
      <c r="B889" s="3" t="s">
        <v>35</v>
      </c>
      <c r="C889" s="3" t="s">
        <v>11</v>
      </c>
      <c r="D889" s="4">
        <v>272573</v>
      </c>
      <c r="E889" s="4">
        <v>107199</v>
      </c>
    </row>
    <row r="890" spans="1:5" x14ac:dyDescent="0.3">
      <c r="A890" s="3" t="s">
        <v>30</v>
      </c>
      <c r="B890" s="3" t="s">
        <v>35</v>
      </c>
      <c r="C890" s="3" t="s">
        <v>12</v>
      </c>
      <c r="D890" s="4">
        <v>258420</v>
      </c>
      <c r="E890" s="4">
        <v>113844</v>
      </c>
    </row>
    <row r="891" spans="1:5" x14ac:dyDescent="0.3">
      <c r="A891" s="3" t="s">
        <v>30</v>
      </c>
      <c r="B891" s="3" t="s">
        <v>35</v>
      </c>
      <c r="C891" s="3" t="s">
        <v>13</v>
      </c>
      <c r="D891" s="4">
        <v>255809</v>
      </c>
      <c r="E891" s="4">
        <v>187588</v>
      </c>
    </row>
    <row r="892" spans="1:5" x14ac:dyDescent="0.3">
      <c r="A892" s="3" t="s">
        <v>30</v>
      </c>
      <c r="B892" s="3" t="s">
        <v>34</v>
      </c>
      <c r="C892" s="3" t="s">
        <v>2</v>
      </c>
      <c r="D892" s="4">
        <v>4731</v>
      </c>
      <c r="E892" s="4">
        <v>812</v>
      </c>
    </row>
    <row r="893" spans="1:5" x14ac:dyDescent="0.3">
      <c r="A893" s="3" t="s">
        <v>30</v>
      </c>
      <c r="B893" s="3" t="s">
        <v>34</v>
      </c>
      <c r="C893" s="3" t="s">
        <v>3</v>
      </c>
      <c r="D893" s="4">
        <v>3646</v>
      </c>
      <c r="E893" s="4">
        <v>470</v>
      </c>
    </row>
    <row r="894" spans="1:5" x14ac:dyDescent="0.3">
      <c r="A894" s="3" t="s">
        <v>30</v>
      </c>
      <c r="B894" s="3" t="s">
        <v>34</v>
      </c>
      <c r="C894" s="3" t="s">
        <v>4</v>
      </c>
      <c r="D894" s="4">
        <v>3176</v>
      </c>
      <c r="E894" s="4">
        <v>293</v>
      </c>
    </row>
    <row r="895" spans="1:5" x14ac:dyDescent="0.3">
      <c r="A895" s="3" t="s">
        <v>30</v>
      </c>
      <c r="B895" s="3" t="s">
        <v>34</v>
      </c>
      <c r="C895" s="3" t="s">
        <v>5</v>
      </c>
      <c r="D895" s="4">
        <v>2894</v>
      </c>
      <c r="E895" s="4">
        <v>307</v>
      </c>
    </row>
    <row r="896" spans="1:5" x14ac:dyDescent="0.3">
      <c r="A896" s="3" t="s">
        <v>30</v>
      </c>
      <c r="B896" s="3" t="s">
        <v>34</v>
      </c>
      <c r="C896" s="3" t="s">
        <v>6</v>
      </c>
      <c r="D896" s="4">
        <v>2491</v>
      </c>
      <c r="E896" s="4">
        <v>321</v>
      </c>
    </row>
    <row r="897" spans="1:5" x14ac:dyDescent="0.3">
      <c r="A897" s="3" t="s">
        <v>30</v>
      </c>
      <c r="B897" s="3" t="s">
        <v>34</v>
      </c>
      <c r="C897" s="3" t="s">
        <v>7</v>
      </c>
      <c r="D897" s="4">
        <v>13139</v>
      </c>
      <c r="E897" s="4">
        <v>1455</v>
      </c>
    </row>
    <row r="898" spans="1:5" x14ac:dyDescent="0.3">
      <c r="A898" s="3" t="s">
        <v>30</v>
      </c>
      <c r="B898" s="3" t="s">
        <v>34</v>
      </c>
      <c r="C898" s="3" t="s">
        <v>8</v>
      </c>
      <c r="D898" s="4">
        <v>22310</v>
      </c>
      <c r="E898" s="4">
        <v>3668</v>
      </c>
    </row>
    <row r="899" spans="1:5" x14ac:dyDescent="0.3">
      <c r="A899" s="3" t="s">
        <v>30</v>
      </c>
      <c r="B899" s="3" t="s">
        <v>34</v>
      </c>
      <c r="C899" s="3" t="s">
        <v>9</v>
      </c>
      <c r="D899" s="4">
        <v>19196</v>
      </c>
      <c r="E899" s="4">
        <v>8845</v>
      </c>
    </row>
    <row r="900" spans="1:5" x14ac:dyDescent="0.3">
      <c r="A900" s="3" t="s">
        <v>30</v>
      </c>
      <c r="B900" s="3" t="s">
        <v>34</v>
      </c>
      <c r="C900" s="3" t="s">
        <v>10</v>
      </c>
      <c r="D900" s="4">
        <v>10218</v>
      </c>
      <c r="E900" s="4">
        <v>1102</v>
      </c>
    </row>
    <row r="901" spans="1:5" x14ac:dyDescent="0.3">
      <c r="A901" s="3" t="s">
        <v>30</v>
      </c>
      <c r="B901" s="3" t="s">
        <v>34</v>
      </c>
      <c r="C901" s="3" t="s">
        <v>11</v>
      </c>
      <c r="D901" s="4">
        <v>7483</v>
      </c>
      <c r="E901" s="4">
        <v>1343</v>
      </c>
    </row>
    <row r="902" spans="1:5" x14ac:dyDescent="0.3">
      <c r="A902" s="3" t="s">
        <v>30</v>
      </c>
      <c r="B902" s="3" t="s">
        <v>34</v>
      </c>
      <c r="C902" s="3" t="s">
        <v>12</v>
      </c>
      <c r="D902" s="4">
        <v>8925</v>
      </c>
      <c r="E902" s="4">
        <v>2284</v>
      </c>
    </row>
    <row r="903" spans="1:5" x14ac:dyDescent="0.3">
      <c r="A903" s="3" t="s">
        <v>30</v>
      </c>
      <c r="B903" s="3" t="s">
        <v>34</v>
      </c>
      <c r="C903" s="3" t="s">
        <v>13</v>
      </c>
      <c r="D903" s="4">
        <v>6786</v>
      </c>
      <c r="E903" s="4">
        <v>1024</v>
      </c>
    </row>
    <row r="904" spans="1:5" x14ac:dyDescent="0.3">
      <c r="A904" s="3" t="s">
        <v>31</v>
      </c>
      <c r="B904" s="3" t="s">
        <v>37</v>
      </c>
      <c r="C904" s="3" t="s">
        <v>2</v>
      </c>
      <c r="D904" s="4">
        <v>129995</v>
      </c>
      <c r="E904" s="4">
        <v>60309</v>
      </c>
    </row>
    <row r="905" spans="1:5" x14ac:dyDescent="0.3">
      <c r="A905" s="3" t="s">
        <v>31</v>
      </c>
      <c r="B905" s="3" t="s">
        <v>37</v>
      </c>
      <c r="C905" s="3" t="s">
        <v>3</v>
      </c>
      <c r="D905" s="4">
        <v>160066</v>
      </c>
      <c r="E905" s="4">
        <v>75606</v>
      </c>
    </row>
    <row r="906" spans="1:5" x14ac:dyDescent="0.3">
      <c r="A906" s="3" t="s">
        <v>31</v>
      </c>
      <c r="B906" s="3" t="s">
        <v>37</v>
      </c>
      <c r="C906" s="3" t="s">
        <v>4</v>
      </c>
      <c r="D906" s="4">
        <v>180495</v>
      </c>
      <c r="E906" s="4">
        <v>83662</v>
      </c>
    </row>
    <row r="907" spans="1:5" x14ac:dyDescent="0.3">
      <c r="A907" s="3" t="s">
        <v>31</v>
      </c>
      <c r="B907" s="3" t="s">
        <v>37</v>
      </c>
      <c r="C907" s="3" t="s">
        <v>5</v>
      </c>
      <c r="D907" s="4">
        <v>158158</v>
      </c>
      <c r="E907" s="4">
        <v>66516</v>
      </c>
    </row>
    <row r="908" spans="1:5" x14ac:dyDescent="0.3">
      <c r="A908" s="3" t="s">
        <v>31</v>
      </c>
      <c r="B908" s="3" t="s">
        <v>37</v>
      </c>
      <c r="C908" s="3" t="s">
        <v>6</v>
      </c>
      <c r="D908" s="4">
        <v>147428</v>
      </c>
      <c r="E908" s="4">
        <v>72676</v>
      </c>
    </row>
    <row r="909" spans="1:5" x14ac:dyDescent="0.3">
      <c r="A909" s="3" t="s">
        <v>31</v>
      </c>
      <c r="B909" s="3" t="s">
        <v>37</v>
      </c>
      <c r="C909" s="3" t="s">
        <v>7</v>
      </c>
      <c r="D909" s="4">
        <v>190010</v>
      </c>
      <c r="E909" s="4">
        <v>80702</v>
      </c>
    </row>
    <row r="910" spans="1:5" x14ac:dyDescent="0.3">
      <c r="A910" s="3" t="s">
        <v>31</v>
      </c>
      <c r="B910" s="3" t="s">
        <v>37</v>
      </c>
      <c r="C910" s="3" t="s">
        <v>8</v>
      </c>
      <c r="D910" s="4">
        <v>162720</v>
      </c>
      <c r="E910" s="4">
        <v>71379</v>
      </c>
    </row>
    <row r="911" spans="1:5" x14ac:dyDescent="0.3">
      <c r="A911" s="3" t="s">
        <v>31</v>
      </c>
      <c r="B911" s="3" t="s">
        <v>37</v>
      </c>
      <c r="C911" s="3" t="s">
        <v>9</v>
      </c>
      <c r="D911" s="4">
        <v>178780</v>
      </c>
      <c r="E911" s="4">
        <v>92651</v>
      </c>
    </row>
    <row r="912" spans="1:5" x14ac:dyDescent="0.3">
      <c r="A912" s="3" t="s">
        <v>31</v>
      </c>
      <c r="B912" s="3" t="s">
        <v>37</v>
      </c>
      <c r="C912" s="3" t="s">
        <v>10</v>
      </c>
      <c r="D912" s="4">
        <v>188608</v>
      </c>
      <c r="E912" s="4">
        <v>73102</v>
      </c>
    </row>
    <row r="913" spans="1:5" x14ac:dyDescent="0.3">
      <c r="A913" s="3" t="s">
        <v>31</v>
      </c>
      <c r="B913" s="3" t="s">
        <v>37</v>
      </c>
      <c r="C913" s="3" t="s">
        <v>11</v>
      </c>
      <c r="D913" s="4">
        <v>158135</v>
      </c>
      <c r="E913" s="4">
        <v>70558</v>
      </c>
    </row>
    <row r="914" spans="1:5" x14ac:dyDescent="0.3">
      <c r="A914" s="3" t="s">
        <v>31</v>
      </c>
      <c r="B914" s="3" t="s">
        <v>37</v>
      </c>
      <c r="C914" s="3" t="s">
        <v>12</v>
      </c>
      <c r="D914" s="4">
        <v>141870</v>
      </c>
      <c r="E914" s="4">
        <v>80431</v>
      </c>
    </row>
    <row r="915" spans="1:5" x14ac:dyDescent="0.3">
      <c r="A915" s="3" t="s">
        <v>31</v>
      </c>
      <c r="B915" s="3" t="s">
        <v>37</v>
      </c>
      <c r="C915" s="3" t="s">
        <v>13</v>
      </c>
      <c r="D915" s="4">
        <v>157202</v>
      </c>
      <c r="E915" s="4">
        <v>107418</v>
      </c>
    </row>
    <row r="916" spans="1:5" x14ac:dyDescent="0.3">
      <c r="A916" s="3" t="s">
        <v>31</v>
      </c>
      <c r="B916" s="3" t="s">
        <v>38</v>
      </c>
      <c r="C916" s="3" t="s">
        <v>2</v>
      </c>
      <c r="D916" s="4">
        <v>132032</v>
      </c>
      <c r="E916" s="4">
        <v>49956</v>
      </c>
    </row>
    <row r="917" spans="1:5" x14ac:dyDescent="0.3">
      <c r="A917" s="3" t="s">
        <v>31</v>
      </c>
      <c r="B917" s="3" t="s">
        <v>38</v>
      </c>
      <c r="C917" s="3" t="s">
        <v>3</v>
      </c>
      <c r="D917" s="4">
        <v>181223</v>
      </c>
      <c r="E917" s="4">
        <v>64585</v>
      </c>
    </row>
    <row r="918" spans="1:5" x14ac:dyDescent="0.3">
      <c r="A918" s="3" t="s">
        <v>31</v>
      </c>
      <c r="B918" s="3" t="s">
        <v>38</v>
      </c>
      <c r="C918" s="3" t="s">
        <v>4</v>
      </c>
      <c r="D918" s="4">
        <v>202178</v>
      </c>
      <c r="E918" s="4">
        <v>87905</v>
      </c>
    </row>
    <row r="919" spans="1:5" x14ac:dyDescent="0.3">
      <c r="A919" s="3" t="s">
        <v>31</v>
      </c>
      <c r="B919" s="3" t="s">
        <v>38</v>
      </c>
      <c r="C919" s="3" t="s">
        <v>5</v>
      </c>
      <c r="D919" s="4">
        <v>177016</v>
      </c>
      <c r="E919" s="4">
        <v>63555</v>
      </c>
    </row>
    <row r="920" spans="1:5" x14ac:dyDescent="0.3">
      <c r="A920" s="3" t="s">
        <v>31</v>
      </c>
      <c r="B920" s="3" t="s">
        <v>38</v>
      </c>
      <c r="C920" s="3" t="s">
        <v>6</v>
      </c>
      <c r="D920" s="4">
        <v>168463</v>
      </c>
      <c r="E920" s="4">
        <v>66316</v>
      </c>
    </row>
    <row r="921" spans="1:5" x14ac:dyDescent="0.3">
      <c r="A921" s="3" t="s">
        <v>31</v>
      </c>
      <c r="B921" s="3" t="s">
        <v>38</v>
      </c>
      <c r="C921" s="3" t="s">
        <v>7</v>
      </c>
      <c r="D921" s="4">
        <v>170806</v>
      </c>
      <c r="E921" s="4">
        <v>62502</v>
      </c>
    </row>
    <row r="922" spans="1:5" x14ac:dyDescent="0.3">
      <c r="A922" s="3" t="s">
        <v>31</v>
      </c>
      <c r="B922" s="3" t="s">
        <v>38</v>
      </c>
      <c r="C922" s="3" t="s">
        <v>8</v>
      </c>
      <c r="D922" s="4">
        <v>207778</v>
      </c>
      <c r="E922" s="4">
        <v>82944</v>
      </c>
    </row>
    <row r="923" spans="1:5" x14ac:dyDescent="0.3">
      <c r="A923" s="3" t="s">
        <v>31</v>
      </c>
      <c r="B923" s="3" t="s">
        <v>38</v>
      </c>
      <c r="C923" s="3" t="s">
        <v>9</v>
      </c>
      <c r="D923" s="4">
        <v>245657</v>
      </c>
      <c r="E923" s="4">
        <v>98006</v>
      </c>
    </row>
    <row r="924" spans="1:5" x14ac:dyDescent="0.3">
      <c r="A924" s="3" t="s">
        <v>31</v>
      </c>
      <c r="B924" s="3" t="s">
        <v>38</v>
      </c>
      <c r="C924" s="3" t="s">
        <v>10</v>
      </c>
      <c r="D924" s="4">
        <v>233115</v>
      </c>
      <c r="E924" s="4">
        <v>62672</v>
      </c>
    </row>
    <row r="925" spans="1:5" x14ac:dyDescent="0.3">
      <c r="A925" s="3" t="s">
        <v>31</v>
      </c>
      <c r="B925" s="3" t="s">
        <v>38</v>
      </c>
      <c r="C925" s="3" t="s">
        <v>11</v>
      </c>
      <c r="D925" s="4">
        <v>205805</v>
      </c>
      <c r="E925" s="4">
        <v>69019</v>
      </c>
    </row>
    <row r="926" spans="1:5" x14ac:dyDescent="0.3">
      <c r="A926" s="3" t="s">
        <v>31</v>
      </c>
      <c r="B926" s="3" t="s">
        <v>38</v>
      </c>
      <c r="C926" s="3" t="s">
        <v>12</v>
      </c>
      <c r="D926" s="4">
        <v>192497</v>
      </c>
      <c r="E926" s="4">
        <v>73545</v>
      </c>
    </row>
    <row r="927" spans="1:5" x14ac:dyDescent="0.3">
      <c r="A927" s="3" t="s">
        <v>31</v>
      </c>
      <c r="B927" s="3" t="s">
        <v>38</v>
      </c>
      <c r="C927" s="3" t="s">
        <v>13</v>
      </c>
      <c r="D927" s="4">
        <v>188858</v>
      </c>
      <c r="E927" s="4">
        <v>110333</v>
      </c>
    </row>
    <row r="928" spans="1:5" x14ac:dyDescent="0.3">
      <c r="A928" s="3" t="s">
        <v>31</v>
      </c>
      <c r="B928" s="3" t="s">
        <v>36</v>
      </c>
      <c r="C928" s="3" t="s">
        <v>2</v>
      </c>
      <c r="D928" s="4">
        <v>64128</v>
      </c>
      <c r="E928" s="4">
        <v>25313</v>
      </c>
    </row>
    <row r="929" spans="1:5" x14ac:dyDescent="0.3">
      <c r="A929" s="3" t="s">
        <v>31</v>
      </c>
      <c r="B929" s="3" t="s">
        <v>36</v>
      </c>
      <c r="C929" s="3" t="s">
        <v>3</v>
      </c>
      <c r="D929" s="4">
        <v>61223</v>
      </c>
      <c r="E929" s="4">
        <v>19072</v>
      </c>
    </row>
    <row r="930" spans="1:5" x14ac:dyDescent="0.3">
      <c r="A930" s="3" t="s">
        <v>31</v>
      </c>
      <c r="B930" s="3" t="s">
        <v>36</v>
      </c>
      <c r="C930" s="3" t="s">
        <v>4</v>
      </c>
      <c r="D930" s="4">
        <v>65759</v>
      </c>
      <c r="E930" s="4">
        <v>22349</v>
      </c>
    </row>
    <row r="931" spans="1:5" x14ac:dyDescent="0.3">
      <c r="A931" s="3" t="s">
        <v>31</v>
      </c>
      <c r="B931" s="3" t="s">
        <v>36</v>
      </c>
      <c r="C931" s="3" t="s">
        <v>5</v>
      </c>
      <c r="D931" s="4">
        <v>83620</v>
      </c>
      <c r="E931" s="4">
        <v>21439</v>
      </c>
    </row>
    <row r="932" spans="1:5" x14ac:dyDescent="0.3">
      <c r="A932" s="3" t="s">
        <v>31</v>
      </c>
      <c r="B932" s="3" t="s">
        <v>36</v>
      </c>
      <c r="C932" s="3" t="s">
        <v>6</v>
      </c>
      <c r="D932" s="4">
        <v>74966</v>
      </c>
      <c r="E932" s="4">
        <v>22326</v>
      </c>
    </row>
    <row r="933" spans="1:5" x14ac:dyDescent="0.3">
      <c r="A933" s="3" t="s">
        <v>31</v>
      </c>
      <c r="B933" s="3" t="s">
        <v>36</v>
      </c>
      <c r="C933" s="3" t="s">
        <v>7</v>
      </c>
      <c r="D933" s="4">
        <v>68768</v>
      </c>
      <c r="E933" s="4">
        <v>23073</v>
      </c>
    </row>
    <row r="934" spans="1:5" x14ac:dyDescent="0.3">
      <c r="A934" s="3" t="s">
        <v>31</v>
      </c>
      <c r="B934" s="3" t="s">
        <v>36</v>
      </c>
      <c r="C934" s="3" t="s">
        <v>8</v>
      </c>
      <c r="D934" s="4">
        <v>65524</v>
      </c>
      <c r="E934" s="4">
        <v>25910</v>
      </c>
    </row>
    <row r="935" spans="1:5" x14ac:dyDescent="0.3">
      <c r="A935" s="3" t="s">
        <v>31</v>
      </c>
      <c r="B935" s="3" t="s">
        <v>36</v>
      </c>
      <c r="C935" s="3" t="s">
        <v>9</v>
      </c>
      <c r="D935" s="4">
        <v>59657</v>
      </c>
      <c r="E935" s="4">
        <v>32250</v>
      </c>
    </row>
    <row r="936" spans="1:5" x14ac:dyDescent="0.3">
      <c r="A936" s="3" t="s">
        <v>31</v>
      </c>
      <c r="B936" s="3" t="s">
        <v>36</v>
      </c>
      <c r="C936" s="3" t="s">
        <v>10</v>
      </c>
      <c r="D936" s="4">
        <v>89286</v>
      </c>
      <c r="E936" s="4">
        <v>23843</v>
      </c>
    </row>
    <row r="937" spans="1:5" x14ac:dyDescent="0.3">
      <c r="A937" s="3" t="s">
        <v>31</v>
      </c>
      <c r="B937" s="3" t="s">
        <v>36</v>
      </c>
      <c r="C937" s="3" t="s">
        <v>11</v>
      </c>
      <c r="D937" s="4">
        <v>110867</v>
      </c>
      <c r="E937" s="4">
        <v>29546</v>
      </c>
    </row>
    <row r="938" spans="1:5" x14ac:dyDescent="0.3">
      <c r="A938" s="3" t="s">
        <v>31</v>
      </c>
      <c r="B938" s="3" t="s">
        <v>36</v>
      </c>
      <c r="C938" s="3" t="s">
        <v>12</v>
      </c>
      <c r="D938" s="4">
        <v>108335</v>
      </c>
      <c r="E938" s="4">
        <v>39145</v>
      </c>
    </row>
    <row r="939" spans="1:5" x14ac:dyDescent="0.3">
      <c r="A939" s="3" t="s">
        <v>31</v>
      </c>
      <c r="B939" s="3" t="s">
        <v>36</v>
      </c>
      <c r="C939" s="3" t="s">
        <v>13</v>
      </c>
      <c r="D939" s="4">
        <v>112283</v>
      </c>
      <c r="E939" s="4">
        <v>62570</v>
      </c>
    </row>
    <row r="940" spans="1:5" x14ac:dyDescent="0.3">
      <c r="A940" s="3" t="s">
        <v>31</v>
      </c>
      <c r="B940" s="3" t="s">
        <v>35</v>
      </c>
      <c r="C940" s="3" t="s">
        <v>2</v>
      </c>
      <c r="D940" s="4">
        <v>154884</v>
      </c>
      <c r="E940" s="4">
        <v>67941</v>
      </c>
    </row>
    <row r="941" spans="1:5" x14ac:dyDescent="0.3">
      <c r="A941" s="3" t="s">
        <v>31</v>
      </c>
      <c r="B941" s="3" t="s">
        <v>35</v>
      </c>
      <c r="C941" s="3" t="s">
        <v>3</v>
      </c>
      <c r="D941" s="4">
        <v>177064</v>
      </c>
      <c r="E941" s="4">
        <v>84598</v>
      </c>
    </row>
    <row r="942" spans="1:5" x14ac:dyDescent="0.3">
      <c r="A942" s="3" t="s">
        <v>31</v>
      </c>
      <c r="B942" s="3" t="s">
        <v>35</v>
      </c>
      <c r="C942" s="3" t="s">
        <v>4</v>
      </c>
      <c r="D942" s="4">
        <v>287563</v>
      </c>
      <c r="E942" s="4">
        <v>111121</v>
      </c>
    </row>
    <row r="943" spans="1:5" x14ac:dyDescent="0.3">
      <c r="A943" s="3" t="s">
        <v>31</v>
      </c>
      <c r="B943" s="3" t="s">
        <v>35</v>
      </c>
      <c r="C943" s="3" t="s">
        <v>5</v>
      </c>
      <c r="D943" s="4">
        <v>286526</v>
      </c>
      <c r="E943" s="4">
        <v>84279</v>
      </c>
    </row>
    <row r="944" spans="1:5" x14ac:dyDescent="0.3">
      <c r="A944" s="3" t="s">
        <v>31</v>
      </c>
      <c r="B944" s="3" t="s">
        <v>35</v>
      </c>
      <c r="C944" s="3" t="s">
        <v>6</v>
      </c>
      <c r="D944" s="4">
        <v>262614</v>
      </c>
      <c r="E944" s="4">
        <v>87537</v>
      </c>
    </row>
    <row r="945" spans="1:5" x14ac:dyDescent="0.3">
      <c r="A945" s="3" t="s">
        <v>31</v>
      </c>
      <c r="B945" s="3" t="s">
        <v>35</v>
      </c>
      <c r="C945" s="3" t="s">
        <v>7</v>
      </c>
      <c r="D945" s="4">
        <v>213633</v>
      </c>
      <c r="E945" s="4">
        <v>80046</v>
      </c>
    </row>
    <row r="946" spans="1:5" x14ac:dyDescent="0.3">
      <c r="A946" s="3" t="s">
        <v>31</v>
      </c>
      <c r="B946" s="3" t="s">
        <v>35</v>
      </c>
      <c r="C946" s="3" t="s">
        <v>8</v>
      </c>
      <c r="D946" s="4">
        <v>192492</v>
      </c>
      <c r="E946" s="4">
        <v>87748</v>
      </c>
    </row>
    <row r="947" spans="1:5" x14ac:dyDescent="0.3">
      <c r="A947" s="3" t="s">
        <v>31</v>
      </c>
      <c r="B947" s="3" t="s">
        <v>35</v>
      </c>
      <c r="C947" s="3" t="s">
        <v>9</v>
      </c>
      <c r="D947" s="4">
        <v>194428</v>
      </c>
      <c r="E947" s="4">
        <v>103336</v>
      </c>
    </row>
    <row r="948" spans="1:5" x14ac:dyDescent="0.3">
      <c r="A948" s="3" t="s">
        <v>31</v>
      </c>
      <c r="B948" s="3" t="s">
        <v>35</v>
      </c>
      <c r="C948" s="3" t="s">
        <v>10</v>
      </c>
      <c r="D948" s="4">
        <v>262875</v>
      </c>
      <c r="E948" s="4">
        <v>113583</v>
      </c>
    </row>
    <row r="949" spans="1:5" x14ac:dyDescent="0.3">
      <c r="A949" s="3" t="s">
        <v>31</v>
      </c>
      <c r="B949" s="3" t="s">
        <v>35</v>
      </c>
      <c r="C949" s="3" t="s">
        <v>11</v>
      </c>
      <c r="D949" s="4">
        <v>298375</v>
      </c>
      <c r="E949" s="4">
        <v>166889</v>
      </c>
    </row>
    <row r="950" spans="1:5" x14ac:dyDescent="0.3">
      <c r="A950" s="3" t="s">
        <v>31</v>
      </c>
      <c r="B950" s="3" t="s">
        <v>35</v>
      </c>
      <c r="C950" s="3" t="s">
        <v>12</v>
      </c>
      <c r="D950" s="4">
        <v>301583</v>
      </c>
      <c r="E950" s="4">
        <v>158753</v>
      </c>
    </row>
    <row r="951" spans="1:5" x14ac:dyDescent="0.3">
      <c r="A951" s="3" t="s">
        <v>31</v>
      </c>
      <c r="B951" s="3" t="s">
        <v>35</v>
      </c>
      <c r="C951" s="3" t="s">
        <v>13</v>
      </c>
      <c r="D951" s="4">
        <v>292814</v>
      </c>
      <c r="E951" s="4">
        <v>267058</v>
      </c>
    </row>
    <row r="952" spans="1:5" x14ac:dyDescent="0.3">
      <c r="A952" s="3" t="s">
        <v>31</v>
      </c>
      <c r="B952" s="3" t="s">
        <v>34</v>
      </c>
      <c r="C952" s="3" t="s">
        <v>2</v>
      </c>
      <c r="D952" s="4">
        <v>6380</v>
      </c>
      <c r="E952" s="4">
        <v>999</v>
      </c>
    </row>
    <row r="953" spans="1:5" x14ac:dyDescent="0.3">
      <c r="A953" s="3" t="s">
        <v>31</v>
      </c>
      <c r="B953" s="3" t="s">
        <v>34</v>
      </c>
      <c r="C953" s="3" t="s">
        <v>3</v>
      </c>
      <c r="D953" s="4">
        <v>4785</v>
      </c>
      <c r="E953" s="4">
        <v>622</v>
      </c>
    </row>
    <row r="954" spans="1:5" x14ac:dyDescent="0.3">
      <c r="A954" s="3" t="s">
        <v>31</v>
      </c>
      <c r="B954" s="3" t="s">
        <v>34</v>
      </c>
      <c r="C954" s="3" t="s">
        <v>4</v>
      </c>
      <c r="D954" s="4">
        <v>4196</v>
      </c>
      <c r="E954" s="4">
        <v>426</v>
      </c>
    </row>
    <row r="955" spans="1:5" x14ac:dyDescent="0.3">
      <c r="A955" s="3" t="s">
        <v>31</v>
      </c>
      <c r="B955" s="3" t="s">
        <v>34</v>
      </c>
      <c r="C955" s="3" t="s">
        <v>5</v>
      </c>
      <c r="D955" s="4">
        <v>4054</v>
      </c>
      <c r="E955" s="4">
        <v>379</v>
      </c>
    </row>
    <row r="956" spans="1:5" x14ac:dyDescent="0.3">
      <c r="A956" s="3" t="s">
        <v>31</v>
      </c>
      <c r="B956" s="3" t="s">
        <v>34</v>
      </c>
      <c r="C956" s="3" t="s">
        <v>6</v>
      </c>
      <c r="D956" s="4">
        <v>3160</v>
      </c>
      <c r="E956" s="4">
        <v>464</v>
      </c>
    </row>
    <row r="957" spans="1:5" x14ac:dyDescent="0.3">
      <c r="A957" s="3" t="s">
        <v>31</v>
      </c>
      <c r="B957" s="3" t="s">
        <v>34</v>
      </c>
      <c r="C957" s="3" t="s">
        <v>7</v>
      </c>
      <c r="D957" s="4">
        <v>14585</v>
      </c>
      <c r="E957" s="4">
        <v>1918</v>
      </c>
    </row>
    <row r="958" spans="1:5" x14ac:dyDescent="0.3">
      <c r="A958" s="3" t="s">
        <v>31</v>
      </c>
      <c r="B958" s="3" t="s">
        <v>34</v>
      </c>
      <c r="C958" s="3" t="s">
        <v>8</v>
      </c>
      <c r="D958" s="4">
        <v>24164</v>
      </c>
      <c r="E958" s="4">
        <v>6021</v>
      </c>
    </row>
    <row r="959" spans="1:5" x14ac:dyDescent="0.3">
      <c r="A959" s="3" t="s">
        <v>31</v>
      </c>
      <c r="B959" s="3" t="s">
        <v>34</v>
      </c>
      <c r="C959" s="3" t="s">
        <v>9</v>
      </c>
      <c r="D959" s="4">
        <v>19855</v>
      </c>
      <c r="E959" s="4">
        <v>11613</v>
      </c>
    </row>
    <row r="960" spans="1:5" x14ac:dyDescent="0.3">
      <c r="A960" s="3" t="s">
        <v>31</v>
      </c>
      <c r="B960" s="3" t="s">
        <v>34</v>
      </c>
      <c r="C960" s="3" t="s">
        <v>10</v>
      </c>
      <c r="D960" s="4">
        <v>11031</v>
      </c>
      <c r="E960" s="4">
        <v>1540</v>
      </c>
    </row>
    <row r="961" spans="1:5" x14ac:dyDescent="0.3">
      <c r="A961" s="3" t="s">
        <v>31</v>
      </c>
      <c r="B961" s="3" t="s">
        <v>34</v>
      </c>
      <c r="C961" s="3" t="s">
        <v>11</v>
      </c>
      <c r="D961" s="4">
        <v>8601</v>
      </c>
      <c r="E961" s="4">
        <v>1620</v>
      </c>
    </row>
    <row r="962" spans="1:5" x14ac:dyDescent="0.3">
      <c r="A962" s="3" t="s">
        <v>31</v>
      </c>
      <c r="B962" s="3" t="s">
        <v>34</v>
      </c>
      <c r="C962" s="3" t="s">
        <v>12</v>
      </c>
      <c r="D962" s="4">
        <v>10488</v>
      </c>
      <c r="E962" s="4">
        <v>3058</v>
      </c>
    </row>
    <row r="963" spans="1:5" x14ac:dyDescent="0.3">
      <c r="A963" s="3" t="s">
        <v>31</v>
      </c>
      <c r="B963" s="3" t="s">
        <v>34</v>
      </c>
      <c r="C963" s="3" t="s">
        <v>13</v>
      </c>
      <c r="D963" s="4">
        <v>7534</v>
      </c>
      <c r="E963" s="4">
        <v>1503</v>
      </c>
    </row>
    <row r="964" spans="1:5" x14ac:dyDescent="0.3">
      <c r="A964" s="3" t="s">
        <v>32</v>
      </c>
      <c r="B964" s="3" t="s">
        <v>37</v>
      </c>
      <c r="C964" s="3" t="s">
        <v>2</v>
      </c>
      <c r="D964" s="4">
        <v>57684</v>
      </c>
      <c r="E964" s="4">
        <v>13044</v>
      </c>
    </row>
    <row r="965" spans="1:5" x14ac:dyDescent="0.3">
      <c r="A965" s="3" t="s">
        <v>32</v>
      </c>
      <c r="B965" s="3" t="s">
        <v>37</v>
      </c>
      <c r="C965" s="3" t="s">
        <v>3</v>
      </c>
      <c r="D965" s="4">
        <v>68108</v>
      </c>
      <c r="E965" s="4">
        <v>15612</v>
      </c>
    </row>
    <row r="966" spans="1:5" x14ac:dyDescent="0.3">
      <c r="A966" s="3" t="s">
        <v>32</v>
      </c>
      <c r="B966" s="3" t="s">
        <v>37</v>
      </c>
      <c r="C966" s="3" t="s">
        <v>4</v>
      </c>
      <c r="D966" s="4">
        <v>76729</v>
      </c>
      <c r="E966" s="4">
        <v>16852</v>
      </c>
    </row>
    <row r="967" spans="1:5" x14ac:dyDescent="0.3">
      <c r="A967" s="3" t="s">
        <v>32</v>
      </c>
      <c r="B967" s="3" t="s">
        <v>37</v>
      </c>
      <c r="C967" s="3" t="s">
        <v>5</v>
      </c>
      <c r="D967" s="4">
        <v>73236</v>
      </c>
      <c r="E967" s="4">
        <v>14938</v>
      </c>
    </row>
    <row r="968" spans="1:5" x14ac:dyDescent="0.3">
      <c r="A968" s="3" t="s">
        <v>32</v>
      </c>
      <c r="B968" s="3" t="s">
        <v>37</v>
      </c>
      <c r="C968" s="3" t="s">
        <v>6</v>
      </c>
      <c r="D968" s="4">
        <v>69185</v>
      </c>
      <c r="E968" s="4">
        <v>13908</v>
      </c>
    </row>
    <row r="969" spans="1:5" x14ac:dyDescent="0.3">
      <c r="A969" s="3" t="s">
        <v>32</v>
      </c>
      <c r="B969" s="3" t="s">
        <v>37</v>
      </c>
      <c r="C969" s="3" t="s">
        <v>7</v>
      </c>
      <c r="D969" s="4">
        <v>79157</v>
      </c>
      <c r="E969" s="4">
        <v>15354</v>
      </c>
    </row>
    <row r="970" spans="1:5" x14ac:dyDescent="0.3">
      <c r="A970" s="3" t="s">
        <v>32</v>
      </c>
      <c r="B970" s="3" t="s">
        <v>37</v>
      </c>
      <c r="C970" s="3" t="s">
        <v>8</v>
      </c>
      <c r="D970" s="4">
        <v>71633</v>
      </c>
      <c r="E970" s="4">
        <v>13957</v>
      </c>
    </row>
    <row r="971" spans="1:5" x14ac:dyDescent="0.3">
      <c r="A971" s="3" t="s">
        <v>32</v>
      </c>
      <c r="B971" s="3" t="s">
        <v>37</v>
      </c>
      <c r="C971" s="3" t="s">
        <v>9</v>
      </c>
      <c r="D971" s="4">
        <v>73556</v>
      </c>
      <c r="E971" s="4">
        <v>18019</v>
      </c>
    </row>
    <row r="972" spans="1:5" x14ac:dyDescent="0.3">
      <c r="A972" s="3" t="s">
        <v>32</v>
      </c>
      <c r="B972" s="3" t="s">
        <v>37</v>
      </c>
      <c r="C972" s="3" t="s">
        <v>10</v>
      </c>
      <c r="D972" s="4">
        <v>72590</v>
      </c>
      <c r="E972" s="4">
        <v>13491</v>
      </c>
    </row>
    <row r="973" spans="1:5" x14ac:dyDescent="0.3">
      <c r="A973" s="3" t="s">
        <v>32</v>
      </c>
      <c r="B973" s="3" t="s">
        <v>37</v>
      </c>
      <c r="C973" s="3" t="s">
        <v>11</v>
      </c>
      <c r="D973" s="4">
        <v>66747</v>
      </c>
      <c r="E973" s="4">
        <v>13915</v>
      </c>
    </row>
    <row r="974" spans="1:5" x14ac:dyDescent="0.3">
      <c r="A974" s="3" t="s">
        <v>32</v>
      </c>
      <c r="B974" s="3" t="s">
        <v>37</v>
      </c>
      <c r="C974" s="3" t="s">
        <v>12</v>
      </c>
      <c r="D974" s="4">
        <v>62222</v>
      </c>
      <c r="E974" s="4">
        <v>17192</v>
      </c>
    </row>
    <row r="975" spans="1:5" x14ac:dyDescent="0.3">
      <c r="A975" s="3" t="s">
        <v>32</v>
      </c>
      <c r="B975" s="3" t="s">
        <v>37</v>
      </c>
      <c r="C975" s="3" t="s">
        <v>13</v>
      </c>
      <c r="D975" s="4">
        <v>63038</v>
      </c>
      <c r="E975" s="4">
        <v>25404</v>
      </c>
    </row>
    <row r="976" spans="1:5" x14ac:dyDescent="0.3">
      <c r="A976" s="3" t="s">
        <v>32</v>
      </c>
      <c r="B976" s="3" t="s">
        <v>38</v>
      </c>
      <c r="C976" s="3" t="s">
        <v>2</v>
      </c>
      <c r="D976" s="4">
        <v>64554</v>
      </c>
      <c r="E976" s="4">
        <v>13442</v>
      </c>
    </row>
    <row r="977" spans="1:5" x14ac:dyDescent="0.3">
      <c r="A977" s="3" t="s">
        <v>32</v>
      </c>
      <c r="B977" s="3" t="s">
        <v>38</v>
      </c>
      <c r="C977" s="3" t="s">
        <v>3</v>
      </c>
      <c r="D977" s="4">
        <v>97260</v>
      </c>
      <c r="E977" s="4">
        <v>19036</v>
      </c>
    </row>
    <row r="978" spans="1:5" x14ac:dyDescent="0.3">
      <c r="A978" s="3" t="s">
        <v>32</v>
      </c>
      <c r="B978" s="3" t="s">
        <v>38</v>
      </c>
      <c r="C978" s="3" t="s">
        <v>4</v>
      </c>
      <c r="D978" s="4">
        <v>108427</v>
      </c>
      <c r="E978" s="4">
        <v>21792</v>
      </c>
    </row>
    <row r="979" spans="1:5" x14ac:dyDescent="0.3">
      <c r="A979" s="3" t="s">
        <v>32</v>
      </c>
      <c r="B979" s="3" t="s">
        <v>38</v>
      </c>
      <c r="C979" s="3" t="s">
        <v>5</v>
      </c>
      <c r="D979" s="4">
        <v>101836</v>
      </c>
      <c r="E979" s="4">
        <v>18563</v>
      </c>
    </row>
    <row r="980" spans="1:5" x14ac:dyDescent="0.3">
      <c r="A980" s="3" t="s">
        <v>32</v>
      </c>
      <c r="B980" s="3" t="s">
        <v>38</v>
      </c>
      <c r="C980" s="3" t="s">
        <v>6</v>
      </c>
      <c r="D980" s="4">
        <v>89293</v>
      </c>
      <c r="E980" s="4">
        <v>18095</v>
      </c>
    </row>
    <row r="981" spans="1:5" x14ac:dyDescent="0.3">
      <c r="A981" s="3" t="s">
        <v>32</v>
      </c>
      <c r="B981" s="3" t="s">
        <v>38</v>
      </c>
      <c r="C981" s="3" t="s">
        <v>7</v>
      </c>
      <c r="D981" s="4">
        <v>89012</v>
      </c>
      <c r="E981" s="4">
        <v>17569</v>
      </c>
    </row>
    <row r="982" spans="1:5" x14ac:dyDescent="0.3">
      <c r="A982" s="3" t="s">
        <v>32</v>
      </c>
      <c r="B982" s="3" t="s">
        <v>38</v>
      </c>
      <c r="C982" s="3" t="s">
        <v>8</v>
      </c>
      <c r="D982" s="4">
        <v>86130</v>
      </c>
      <c r="E982" s="4">
        <v>17910</v>
      </c>
    </row>
    <row r="983" spans="1:5" x14ac:dyDescent="0.3">
      <c r="A983" s="3" t="s">
        <v>32</v>
      </c>
      <c r="B983" s="3" t="s">
        <v>38</v>
      </c>
      <c r="C983" s="3" t="s">
        <v>9</v>
      </c>
      <c r="D983" s="4">
        <v>92960</v>
      </c>
      <c r="E983" s="4">
        <v>24471</v>
      </c>
    </row>
    <row r="984" spans="1:5" x14ac:dyDescent="0.3">
      <c r="A984" s="3" t="s">
        <v>32</v>
      </c>
      <c r="B984" s="3" t="s">
        <v>38</v>
      </c>
      <c r="C984" s="3" t="s">
        <v>10</v>
      </c>
      <c r="D984" s="4">
        <v>83213</v>
      </c>
      <c r="E984" s="4">
        <v>13980</v>
      </c>
    </row>
    <row r="985" spans="1:5" x14ac:dyDescent="0.3">
      <c r="A985" s="3" t="s">
        <v>32</v>
      </c>
      <c r="B985" s="3" t="s">
        <v>38</v>
      </c>
      <c r="C985" s="3" t="s">
        <v>11</v>
      </c>
      <c r="D985" s="4">
        <v>77294</v>
      </c>
      <c r="E985" s="4">
        <v>14151</v>
      </c>
    </row>
    <row r="986" spans="1:5" x14ac:dyDescent="0.3">
      <c r="A986" s="3" t="s">
        <v>32</v>
      </c>
      <c r="B986" s="3" t="s">
        <v>38</v>
      </c>
      <c r="C986" s="3" t="s">
        <v>12</v>
      </c>
      <c r="D986" s="4">
        <v>80773</v>
      </c>
      <c r="E986" s="4">
        <v>17248</v>
      </c>
    </row>
    <row r="987" spans="1:5" x14ac:dyDescent="0.3">
      <c r="A987" s="3" t="s">
        <v>32</v>
      </c>
      <c r="B987" s="3" t="s">
        <v>38</v>
      </c>
      <c r="C987" s="3" t="s">
        <v>13</v>
      </c>
      <c r="D987" s="4">
        <v>73259</v>
      </c>
      <c r="E987" s="4">
        <v>28203</v>
      </c>
    </row>
    <row r="988" spans="1:5" x14ac:dyDescent="0.3">
      <c r="A988" s="3" t="s">
        <v>32</v>
      </c>
      <c r="B988" s="3" t="s">
        <v>36</v>
      </c>
      <c r="C988" s="3" t="s">
        <v>2</v>
      </c>
      <c r="D988" s="4">
        <v>21436</v>
      </c>
      <c r="E988" s="4">
        <v>8214</v>
      </c>
    </row>
    <row r="989" spans="1:5" x14ac:dyDescent="0.3">
      <c r="A989" s="3" t="s">
        <v>32</v>
      </c>
      <c r="B989" s="3" t="s">
        <v>36</v>
      </c>
      <c r="C989" s="3" t="s">
        <v>3</v>
      </c>
      <c r="D989" s="4">
        <v>19755</v>
      </c>
      <c r="E989" s="4">
        <v>7791</v>
      </c>
    </row>
    <row r="990" spans="1:5" x14ac:dyDescent="0.3">
      <c r="A990" s="3" t="s">
        <v>32</v>
      </c>
      <c r="B990" s="3" t="s">
        <v>36</v>
      </c>
      <c r="C990" s="3" t="s">
        <v>4</v>
      </c>
      <c r="D990" s="4">
        <v>23377</v>
      </c>
      <c r="E990" s="4">
        <v>8836</v>
      </c>
    </row>
    <row r="991" spans="1:5" x14ac:dyDescent="0.3">
      <c r="A991" s="3" t="s">
        <v>32</v>
      </c>
      <c r="B991" s="3" t="s">
        <v>36</v>
      </c>
      <c r="C991" s="3" t="s">
        <v>5</v>
      </c>
      <c r="D991" s="4">
        <v>31322</v>
      </c>
      <c r="E991" s="4">
        <v>8542</v>
      </c>
    </row>
    <row r="992" spans="1:5" x14ac:dyDescent="0.3">
      <c r="A992" s="3" t="s">
        <v>32</v>
      </c>
      <c r="B992" s="3" t="s">
        <v>36</v>
      </c>
      <c r="C992" s="3" t="s">
        <v>6</v>
      </c>
      <c r="D992" s="4">
        <v>28866</v>
      </c>
      <c r="E992" s="4">
        <v>8581</v>
      </c>
    </row>
    <row r="993" spans="1:5" x14ac:dyDescent="0.3">
      <c r="A993" s="3" t="s">
        <v>32</v>
      </c>
      <c r="B993" s="3" t="s">
        <v>36</v>
      </c>
      <c r="C993" s="3" t="s">
        <v>7</v>
      </c>
      <c r="D993" s="4">
        <v>26593</v>
      </c>
      <c r="E993" s="4">
        <v>8142</v>
      </c>
    </row>
    <row r="994" spans="1:5" x14ac:dyDescent="0.3">
      <c r="A994" s="3" t="s">
        <v>32</v>
      </c>
      <c r="B994" s="3" t="s">
        <v>36</v>
      </c>
      <c r="C994" s="3" t="s">
        <v>8</v>
      </c>
      <c r="D994" s="4">
        <v>26748</v>
      </c>
      <c r="E994" s="4">
        <v>9149</v>
      </c>
    </row>
    <row r="995" spans="1:5" x14ac:dyDescent="0.3">
      <c r="A995" s="3" t="s">
        <v>32</v>
      </c>
      <c r="B995" s="3" t="s">
        <v>36</v>
      </c>
      <c r="C995" s="3" t="s">
        <v>9</v>
      </c>
      <c r="D995" s="4">
        <v>24445</v>
      </c>
      <c r="E995" s="4">
        <v>11538</v>
      </c>
    </row>
    <row r="996" spans="1:5" x14ac:dyDescent="0.3">
      <c r="A996" s="3" t="s">
        <v>32</v>
      </c>
      <c r="B996" s="3" t="s">
        <v>36</v>
      </c>
      <c r="C996" s="3" t="s">
        <v>10</v>
      </c>
      <c r="D996" s="4">
        <v>33717</v>
      </c>
      <c r="E996" s="4">
        <v>8523</v>
      </c>
    </row>
    <row r="997" spans="1:5" x14ac:dyDescent="0.3">
      <c r="A997" s="3" t="s">
        <v>32</v>
      </c>
      <c r="B997" s="3" t="s">
        <v>36</v>
      </c>
      <c r="C997" s="3" t="s">
        <v>11</v>
      </c>
      <c r="D997" s="4">
        <v>39563</v>
      </c>
      <c r="E997" s="4">
        <v>8722</v>
      </c>
    </row>
    <row r="998" spans="1:5" x14ac:dyDescent="0.3">
      <c r="A998" s="3" t="s">
        <v>32</v>
      </c>
      <c r="B998" s="3" t="s">
        <v>36</v>
      </c>
      <c r="C998" s="3" t="s">
        <v>12</v>
      </c>
      <c r="D998" s="4">
        <v>39060</v>
      </c>
      <c r="E998" s="4">
        <v>10645</v>
      </c>
    </row>
    <row r="999" spans="1:5" x14ac:dyDescent="0.3">
      <c r="A999" s="3" t="s">
        <v>32</v>
      </c>
      <c r="B999" s="3" t="s">
        <v>36</v>
      </c>
      <c r="C999" s="3" t="s">
        <v>13</v>
      </c>
      <c r="D999" s="4">
        <v>39734</v>
      </c>
      <c r="E999" s="4">
        <v>18271</v>
      </c>
    </row>
    <row r="1000" spans="1:5" x14ac:dyDescent="0.3">
      <c r="A1000" s="3" t="s">
        <v>32</v>
      </c>
      <c r="B1000" s="3" t="s">
        <v>35</v>
      </c>
      <c r="C1000" s="3" t="s">
        <v>2</v>
      </c>
      <c r="D1000" s="4">
        <v>40242</v>
      </c>
      <c r="E1000" s="4">
        <v>10105</v>
      </c>
    </row>
    <row r="1001" spans="1:5" x14ac:dyDescent="0.3">
      <c r="A1001" s="3" t="s">
        <v>32</v>
      </c>
      <c r="B1001" s="3" t="s">
        <v>35</v>
      </c>
      <c r="C1001" s="3" t="s">
        <v>3</v>
      </c>
      <c r="D1001" s="4">
        <v>48023</v>
      </c>
      <c r="E1001" s="4">
        <v>13719</v>
      </c>
    </row>
    <row r="1002" spans="1:5" x14ac:dyDescent="0.3">
      <c r="A1002" s="3" t="s">
        <v>32</v>
      </c>
      <c r="B1002" s="3" t="s">
        <v>35</v>
      </c>
      <c r="C1002" s="3" t="s">
        <v>4</v>
      </c>
      <c r="D1002" s="4">
        <v>75738</v>
      </c>
      <c r="E1002" s="4">
        <v>17917</v>
      </c>
    </row>
    <row r="1003" spans="1:5" x14ac:dyDescent="0.3">
      <c r="A1003" s="3" t="s">
        <v>32</v>
      </c>
      <c r="B1003" s="3" t="s">
        <v>35</v>
      </c>
      <c r="C1003" s="3" t="s">
        <v>5</v>
      </c>
      <c r="D1003" s="4">
        <v>78602</v>
      </c>
      <c r="E1003" s="4">
        <v>16001</v>
      </c>
    </row>
    <row r="1004" spans="1:5" x14ac:dyDescent="0.3">
      <c r="A1004" s="3" t="s">
        <v>32</v>
      </c>
      <c r="B1004" s="3" t="s">
        <v>35</v>
      </c>
      <c r="C1004" s="3" t="s">
        <v>6</v>
      </c>
      <c r="D1004" s="4">
        <v>77790</v>
      </c>
      <c r="E1004" s="4">
        <v>15393</v>
      </c>
    </row>
    <row r="1005" spans="1:5" x14ac:dyDescent="0.3">
      <c r="A1005" s="3" t="s">
        <v>32</v>
      </c>
      <c r="B1005" s="3" t="s">
        <v>35</v>
      </c>
      <c r="C1005" s="3" t="s">
        <v>7</v>
      </c>
      <c r="D1005" s="4">
        <v>69189</v>
      </c>
      <c r="E1005" s="4">
        <v>12756</v>
      </c>
    </row>
    <row r="1006" spans="1:5" x14ac:dyDescent="0.3">
      <c r="A1006" s="3" t="s">
        <v>32</v>
      </c>
      <c r="B1006" s="3" t="s">
        <v>35</v>
      </c>
      <c r="C1006" s="3" t="s">
        <v>8</v>
      </c>
      <c r="D1006" s="4">
        <v>62266</v>
      </c>
      <c r="E1006" s="4">
        <v>13538</v>
      </c>
    </row>
    <row r="1007" spans="1:5" x14ac:dyDescent="0.3">
      <c r="A1007" s="3" t="s">
        <v>32</v>
      </c>
      <c r="B1007" s="3" t="s">
        <v>35</v>
      </c>
      <c r="C1007" s="3" t="s">
        <v>9</v>
      </c>
      <c r="D1007" s="4">
        <v>57887</v>
      </c>
      <c r="E1007" s="4">
        <v>13120</v>
      </c>
    </row>
    <row r="1008" spans="1:5" x14ac:dyDescent="0.3">
      <c r="A1008" s="3" t="s">
        <v>32</v>
      </c>
      <c r="B1008" s="3" t="s">
        <v>35</v>
      </c>
      <c r="C1008" s="3" t="s">
        <v>10</v>
      </c>
      <c r="D1008" s="4">
        <v>62683</v>
      </c>
      <c r="E1008" s="4">
        <v>10678</v>
      </c>
    </row>
    <row r="1009" spans="1:5" x14ac:dyDescent="0.3">
      <c r="A1009" s="3" t="s">
        <v>32</v>
      </c>
      <c r="B1009" s="3" t="s">
        <v>35</v>
      </c>
      <c r="C1009" s="3" t="s">
        <v>11</v>
      </c>
      <c r="D1009" s="4">
        <v>64145</v>
      </c>
      <c r="E1009" s="4">
        <v>11911</v>
      </c>
    </row>
    <row r="1010" spans="1:5" x14ac:dyDescent="0.3">
      <c r="A1010" s="3" t="s">
        <v>32</v>
      </c>
      <c r="B1010" s="3" t="s">
        <v>35</v>
      </c>
      <c r="C1010" s="3" t="s">
        <v>12</v>
      </c>
      <c r="D1010" s="4">
        <v>59922</v>
      </c>
      <c r="E1010" s="4">
        <v>13429</v>
      </c>
    </row>
    <row r="1011" spans="1:5" x14ac:dyDescent="0.3">
      <c r="A1011" s="3" t="s">
        <v>32</v>
      </c>
      <c r="B1011" s="3" t="s">
        <v>35</v>
      </c>
      <c r="C1011" s="3" t="s">
        <v>13</v>
      </c>
      <c r="D1011" s="4">
        <v>55430</v>
      </c>
      <c r="E1011" s="4">
        <v>27613</v>
      </c>
    </row>
    <row r="1012" spans="1:5" x14ac:dyDescent="0.3">
      <c r="A1012" s="3" t="s">
        <v>32</v>
      </c>
      <c r="B1012" s="3" t="s">
        <v>34</v>
      </c>
      <c r="C1012" s="3" t="s">
        <v>2</v>
      </c>
      <c r="D1012" s="4">
        <v>2291</v>
      </c>
      <c r="E1012" s="4">
        <v>433</v>
      </c>
    </row>
    <row r="1013" spans="1:5" x14ac:dyDescent="0.3">
      <c r="A1013" s="3" t="s">
        <v>32</v>
      </c>
      <c r="B1013" s="3" t="s">
        <v>34</v>
      </c>
      <c r="C1013" s="3" t="s">
        <v>3</v>
      </c>
      <c r="D1013" s="4">
        <v>1574</v>
      </c>
      <c r="E1013" s="4">
        <v>209</v>
      </c>
    </row>
    <row r="1014" spans="1:5" x14ac:dyDescent="0.3">
      <c r="A1014" s="3" t="s">
        <v>32</v>
      </c>
      <c r="B1014" s="3" t="s">
        <v>34</v>
      </c>
      <c r="C1014" s="3" t="s">
        <v>4</v>
      </c>
      <c r="D1014" s="4">
        <v>1362</v>
      </c>
      <c r="E1014" s="4">
        <v>135</v>
      </c>
    </row>
    <row r="1015" spans="1:5" x14ac:dyDescent="0.3">
      <c r="A1015" s="3" t="s">
        <v>32</v>
      </c>
      <c r="B1015" s="3" t="s">
        <v>34</v>
      </c>
      <c r="C1015" s="3" t="s">
        <v>5</v>
      </c>
      <c r="D1015" s="4">
        <v>1209</v>
      </c>
      <c r="E1015" s="4">
        <v>142</v>
      </c>
    </row>
    <row r="1016" spans="1:5" x14ac:dyDescent="0.3">
      <c r="A1016" s="3" t="s">
        <v>32</v>
      </c>
      <c r="B1016" s="3" t="s">
        <v>34</v>
      </c>
      <c r="C1016" s="3" t="s">
        <v>6</v>
      </c>
      <c r="D1016" s="4">
        <v>1013</v>
      </c>
      <c r="E1016" s="4">
        <v>141</v>
      </c>
    </row>
    <row r="1017" spans="1:5" x14ac:dyDescent="0.3">
      <c r="A1017" s="3" t="s">
        <v>32</v>
      </c>
      <c r="B1017" s="3" t="s">
        <v>34</v>
      </c>
      <c r="C1017" s="3" t="s">
        <v>7</v>
      </c>
      <c r="D1017" s="4">
        <v>6209</v>
      </c>
      <c r="E1017" s="4">
        <v>544</v>
      </c>
    </row>
    <row r="1018" spans="1:5" x14ac:dyDescent="0.3">
      <c r="A1018" s="3" t="s">
        <v>32</v>
      </c>
      <c r="B1018" s="3" t="s">
        <v>34</v>
      </c>
      <c r="C1018" s="3" t="s">
        <v>8</v>
      </c>
      <c r="D1018" s="4">
        <v>10419</v>
      </c>
      <c r="E1018" s="4">
        <v>2050</v>
      </c>
    </row>
    <row r="1019" spans="1:5" x14ac:dyDescent="0.3">
      <c r="A1019" s="3" t="s">
        <v>32</v>
      </c>
      <c r="B1019" s="3" t="s">
        <v>34</v>
      </c>
      <c r="C1019" s="3" t="s">
        <v>9</v>
      </c>
      <c r="D1019" s="4">
        <v>8753</v>
      </c>
      <c r="E1019" s="4">
        <v>4362</v>
      </c>
    </row>
    <row r="1020" spans="1:5" x14ac:dyDescent="0.3">
      <c r="A1020" s="3" t="s">
        <v>32</v>
      </c>
      <c r="B1020" s="3" t="s">
        <v>34</v>
      </c>
      <c r="C1020" s="3" t="s">
        <v>10</v>
      </c>
      <c r="D1020" s="4">
        <v>5031</v>
      </c>
      <c r="E1020" s="4">
        <v>439</v>
      </c>
    </row>
    <row r="1021" spans="1:5" x14ac:dyDescent="0.3">
      <c r="A1021" s="3" t="s">
        <v>32</v>
      </c>
      <c r="B1021" s="3" t="s">
        <v>34</v>
      </c>
      <c r="C1021" s="3" t="s">
        <v>11</v>
      </c>
      <c r="D1021" s="4">
        <v>3997</v>
      </c>
      <c r="E1021" s="4">
        <v>563</v>
      </c>
    </row>
    <row r="1022" spans="1:5" x14ac:dyDescent="0.3">
      <c r="A1022" s="3" t="s">
        <v>32</v>
      </c>
      <c r="B1022" s="3" t="s">
        <v>34</v>
      </c>
      <c r="C1022" s="3" t="s">
        <v>12</v>
      </c>
      <c r="D1022" s="4">
        <v>5158</v>
      </c>
      <c r="E1022" s="4">
        <v>875</v>
      </c>
    </row>
    <row r="1023" spans="1:5" x14ac:dyDescent="0.3">
      <c r="A1023" s="3" t="s">
        <v>32</v>
      </c>
      <c r="B1023" s="3" t="s">
        <v>34</v>
      </c>
      <c r="C1023" s="3" t="s">
        <v>13</v>
      </c>
      <c r="D1023" s="4">
        <v>4040</v>
      </c>
      <c r="E1023" s="4">
        <v>958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9F85B-F5C2-4DF1-8112-F5B99BAF6CB9}">
  <dimension ref="A1:M428"/>
  <sheetViews>
    <sheetView showGridLines="0" tabSelected="1" zoomScaleNormal="100" workbookViewId="0">
      <selection activeCell="I19" sqref="I19"/>
    </sheetView>
  </sheetViews>
  <sheetFormatPr baseColWidth="10" defaultRowHeight="14.4" x14ac:dyDescent="0.3"/>
  <cols>
    <col min="1" max="1" width="13.21875" customWidth="1"/>
    <col min="2" max="2" width="23.5546875" bestFit="1" customWidth="1"/>
    <col min="7" max="7" width="16.5546875" bestFit="1" customWidth="1"/>
    <col min="8" max="8" width="18.5546875" bestFit="1" customWidth="1"/>
    <col min="9" max="9" width="15.21875" bestFit="1" customWidth="1"/>
    <col min="10" max="10" width="19.6640625" bestFit="1" customWidth="1"/>
    <col min="11" max="11" width="19.77734375" bestFit="1" customWidth="1"/>
    <col min="12" max="12" width="21.88671875" bestFit="1" customWidth="1"/>
    <col min="13" max="13" width="15.21875" bestFit="1" customWidth="1"/>
    <col min="14" max="14" width="15.109375" bestFit="1" customWidth="1"/>
    <col min="15" max="15" width="15.21875" bestFit="1" customWidth="1"/>
    <col min="16" max="16" width="18.44140625" bestFit="1" customWidth="1"/>
    <col min="17" max="17" width="15.21875" bestFit="1" customWidth="1"/>
    <col min="18" max="18" width="19.6640625" bestFit="1" customWidth="1"/>
    <col min="19" max="19" width="19.77734375" bestFit="1" customWidth="1"/>
  </cols>
  <sheetData>
    <row r="1" spans="1:11" x14ac:dyDescent="0.3">
      <c r="A1" s="16" t="s">
        <v>40</v>
      </c>
      <c r="B1" s="16"/>
      <c r="C1" s="16"/>
      <c r="D1" s="16"/>
      <c r="E1" s="16"/>
    </row>
    <row r="3" spans="1:11" x14ac:dyDescent="0.3">
      <c r="A3" s="1" t="s">
        <v>0</v>
      </c>
      <c r="B3" s="1" t="s">
        <v>33</v>
      </c>
      <c r="C3" s="1" t="s">
        <v>1</v>
      </c>
      <c r="D3" s="1" t="s">
        <v>15</v>
      </c>
      <c r="E3" s="1" t="s">
        <v>14</v>
      </c>
    </row>
    <row r="4" spans="1:11" x14ac:dyDescent="0.3">
      <c r="A4" s="3" t="s">
        <v>16</v>
      </c>
      <c r="B4" s="3" t="s">
        <v>37</v>
      </c>
      <c r="C4" s="3" t="s">
        <v>2</v>
      </c>
      <c r="D4" s="4">
        <v>47126</v>
      </c>
      <c r="E4" s="4">
        <v>13063</v>
      </c>
      <c r="G4" s="6" t="s">
        <v>67</v>
      </c>
    </row>
    <row r="5" spans="1:11" x14ac:dyDescent="0.3">
      <c r="A5" s="3" t="s">
        <v>16</v>
      </c>
      <c r="B5" s="3" t="s">
        <v>37</v>
      </c>
      <c r="C5" s="3" t="s">
        <v>3</v>
      </c>
      <c r="D5" s="4">
        <v>56260</v>
      </c>
      <c r="E5" s="4">
        <v>13689</v>
      </c>
    </row>
    <row r="6" spans="1:11" x14ac:dyDescent="0.3">
      <c r="A6" s="3" t="s">
        <v>16</v>
      </c>
      <c r="B6" s="3" t="s">
        <v>37</v>
      </c>
      <c r="C6" s="3" t="s">
        <v>4</v>
      </c>
      <c r="D6" s="4">
        <v>62156</v>
      </c>
      <c r="E6" s="4">
        <v>17013</v>
      </c>
      <c r="G6" s="8" t="s">
        <v>0</v>
      </c>
      <c r="H6" t="s">
        <v>52</v>
      </c>
    </row>
    <row r="7" spans="1:11" x14ac:dyDescent="0.3">
      <c r="A7" s="3" t="s">
        <v>16</v>
      </c>
      <c r="B7" s="3" t="s">
        <v>37</v>
      </c>
      <c r="C7" s="3" t="s">
        <v>5</v>
      </c>
      <c r="D7" s="4">
        <v>60036</v>
      </c>
      <c r="E7" s="4">
        <v>15421</v>
      </c>
    </row>
    <row r="8" spans="1:11" x14ac:dyDescent="0.3">
      <c r="A8" s="3" t="s">
        <v>16</v>
      </c>
      <c r="B8" s="3" t="s">
        <v>37</v>
      </c>
      <c r="C8" s="3" t="s">
        <v>6</v>
      </c>
      <c r="D8" s="4">
        <v>59348</v>
      </c>
      <c r="E8" s="4">
        <v>15862</v>
      </c>
      <c r="G8" s="8" t="s">
        <v>54</v>
      </c>
      <c r="H8" t="s">
        <v>43</v>
      </c>
      <c r="I8" t="s">
        <v>44</v>
      </c>
      <c r="J8" s="10" t="s">
        <v>45</v>
      </c>
      <c r="K8" s="10" t="s">
        <v>46</v>
      </c>
    </row>
    <row r="9" spans="1:11" x14ac:dyDescent="0.3">
      <c r="A9" s="3" t="s">
        <v>16</v>
      </c>
      <c r="B9" s="3" t="s">
        <v>38</v>
      </c>
      <c r="C9" s="3" t="s">
        <v>2</v>
      </c>
      <c r="D9" s="4">
        <v>52699</v>
      </c>
      <c r="E9" s="4">
        <v>11632</v>
      </c>
      <c r="G9" s="5" t="s">
        <v>2</v>
      </c>
      <c r="H9" s="7">
        <v>6785622</v>
      </c>
      <c r="I9" s="7">
        <v>2295119</v>
      </c>
    </row>
    <row r="10" spans="1:11" x14ac:dyDescent="0.3">
      <c r="A10" s="3" t="s">
        <v>16</v>
      </c>
      <c r="B10" s="3" t="s">
        <v>38</v>
      </c>
      <c r="C10" s="3" t="s">
        <v>3</v>
      </c>
      <c r="D10" s="4">
        <v>65836</v>
      </c>
      <c r="E10" s="4">
        <v>12708</v>
      </c>
      <c r="G10" s="5" t="s">
        <v>3</v>
      </c>
      <c r="H10" s="7">
        <v>8048704</v>
      </c>
      <c r="I10" s="7">
        <v>2253727</v>
      </c>
      <c r="J10">
        <f>(H9+H10)/2</f>
        <v>7417163</v>
      </c>
      <c r="K10">
        <f>I10/J10</f>
        <v>0.3038529691204036</v>
      </c>
    </row>
    <row r="11" spans="1:11" x14ac:dyDescent="0.3">
      <c r="A11" s="3" t="s">
        <v>16</v>
      </c>
      <c r="B11" s="3" t="s">
        <v>38</v>
      </c>
      <c r="C11" s="3" t="s">
        <v>4</v>
      </c>
      <c r="D11" s="4">
        <v>65805</v>
      </c>
      <c r="E11" s="4">
        <v>17153</v>
      </c>
      <c r="G11" s="5" t="s">
        <v>4</v>
      </c>
      <c r="H11" s="7">
        <v>9874433</v>
      </c>
      <c r="I11" s="7">
        <v>2804596</v>
      </c>
      <c r="J11">
        <f t="shared" ref="J11:J14" si="0">(H10+H11)/2</f>
        <v>8961568.5</v>
      </c>
      <c r="K11">
        <f t="shared" ref="K11:K14" si="1">I11/J11</f>
        <v>0.31295816128616322</v>
      </c>
    </row>
    <row r="12" spans="1:11" x14ac:dyDescent="0.3">
      <c r="A12" s="3" t="s">
        <v>16</v>
      </c>
      <c r="B12" s="3" t="s">
        <v>38</v>
      </c>
      <c r="C12" s="3" t="s">
        <v>5</v>
      </c>
      <c r="D12" s="4">
        <v>59415</v>
      </c>
      <c r="E12" s="4">
        <v>17036</v>
      </c>
      <c r="G12" s="5" t="s">
        <v>5</v>
      </c>
      <c r="H12" s="7">
        <v>9774526</v>
      </c>
      <c r="I12" s="7">
        <v>2524267</v>
      </c>
      <c r="J12">
        <f t="shared" si="0"/>
        <v>9824479.5</v>
      </c>
      <c r="K12">
        <f t="shared" si="1"/>
        <v>0.25693646162119838</v>
      </c>
    </row>
    <row r="13" spans="1:11" x14ac:dyDescent="0.3">
      <c r="A13" s="3" t="s">
        <v>16</v>
      </c>
      <c r="B13" s="3" t="s">
        <v>38</v>
      </c>
      <c r="C13" s="3" t="s">
        <v>6</v>
      </c>
      <c r="D13" s="4">
        <v>55422</v>
      </c>
      <c r="E13" s="4">
        <v>17729</v>
      </c>
      <c r="G13" s="5" t="s">
        <v>6</v>
      </c>
      <c r="H13" s="7">
        <v>8762711</v>
      </c>
      <c r="I13" s="7">
        <v>2724647</v>
      </c>
      <c r="J13">
        <f t="shared" si="0"/>
        <v>9268618.5</v>
      </c>
      <c r="K13">
        <f t="shared" si="1"/>
        <v>0.29396473703173781</v>
      </c>
    </row>
    <row r="14" spans="1:11" x14ac:dyDescent="0.3">
      <c r="A14" s="3" t="s">
        <v>16</v>
      </c>
      <c r="B14" s="3" t="s">
        <v>36</v>
      </c>
      <c r="C14" s="3" t="s">
        <v>2</v>
      </c>
      <c r="D14" s="4">
        <v>35117</v>
      </c>
      <c r="E14" s="4">
        <v>7741</v>
      </c>
      <c r="G14" s="5" t="s">
        <v>42</v>
      </c>
      <c r="H14" s="7">
        <v>43245996</v>
      </c>
      <c r="I14" s="7">
        <v>12602356</v>
      </c>
      <c r="J14" s="10">
        <f>(H13+H14)/2</f>
        <v>26004353.5</v>
      </c>
      <c r="K14" s="10">
        <f>I14/J14</f>
        <v>0.48462485329619903</v>
      </c>
    </row>
    <row r="15" spans="1:11" x14ac:dyDescent="0.3">
      <c r="A15" s="3" t="s">
        <v>16</v>
      </c>
      <c r="B15" s="3" t="s">
        <v>36</v>
      </c>
      <c r="C15" s="3" t="s">
        <v>3</v>
      </c>
      <c r="D15" s="4">
        <v>30138</v>
      </c>
      <c r="E15" s="4">
        <v>5816</v>
      </c>
      <c r="G15" s="13" t="s">
        <v>51</v>
      </c>
      <c r="H15" s="9"/>
      <c r="I15" s="9"/>
      <c r="J15" s="10"/>
      <c r="K15" s="10">
        <f>SUM(K10:K13)</f>
        <v>1.1677123290595031</v>
      </c>
    </row>
    <row r="16" spans="1:11" x14ac:dyDescent="0.3">
      <c r="A16" s="3" t="s">
        <v>16</v>
      </c>
      <c r="B16" s="3" t="s">
        <v>36</v>
      </c>
      <c r="C16" s="3" t="s">
        <v>4</v>
      </c>
      <c r="D16" s="4">
        <v>37676</v>
      </c>
      <c r="E16" s="4">
        <v>6458</v>
      </c>
      <c r="G16" s="12" t="s">
        <v>48</v>
      </c>
      <c r="H16" s="11"/>
      <c r="I16" s="15">
        <f>AVERAGE(I9,I10,I11,I12,I13)</f>
        <v>2520471.2000000002</v>
      </c>
    </row>
    <row r="17" spans="1:13" x14ac:dyDescent="0.3">
      <c r="A17" s="3" t="s">
        <v>16</v>
      </c>
      <c r="B17" s="3" t="s">
        <v>36</v>
      </c>
      <c r="C17" s="3" t="s">
        <v>5</v>
      </c>
      <c r="D17" s="4">
        <v>38208</v>
      </c>
      <c r="E17" s="4">
        <v>6603</v>
      </c>
      <c r="G17" s="12" t="s">
        <v>50</v>
      </c>
      <c r="H17" s="11"/>
      <c r="I17" s="12">
        <f>GETPIVOTDATA("Suma de VTA PZS",$G$8,"MES","Mayo")/I16</f>
        <v>1.081006995834747</v>
      </c>
    </row>
    <row r="18" spans="1:13" x14ac:dyDescent="0.3">
      <c r="A18" s="3" t="s">
        <v>16</v>
      </c>
      <c r="B18" s="3" t="s">
        <v>36</v>
      </c>
      <c r="C18" s="3" t="s">
        <v>6</v>
      </c>
      <c r="D18" s="4">
        <v>38337</v>
      </c>
      <c r="E18" s="4">
        <v>8670</v>
      </c>
      <c r="G18" s="12" t="s">
        <v>49</v>
      </c>
      <c r="H18" s="11"/>
      <c r="I18" s="12">
        <f>I17*12</f>
        <v>12.972083950016964</v>
      </c>
    </row>
    <row r="19" spans="1:13" x14ac:dyDescent="0.3">
      <c r="A19" s="3" t="s">
        <v>16</v>
      </c>
      <c r="B19" s="3" t="s">
        <v>35</v>
      </c>
      <c r="C19" s="3" t="s">
        <v>2</v>
      </c>
      <c r="D19" s="4">
        <v>66076</v>
      </c>
      <c r="E19" s="4">
        <v>23752</v>
      </c>
      <c r="G19" s="12" t="s">
        <v>56</v>
      </c>
      <c r="H19" s="11"/>
      <c r="I19" s="12">
        <f>I18*30</f>
        <v>389.16251850050895</v>
      </c>
    </row>
    <row r="20" spans="1:13" x14ac:dyDescent="0.3">
      <c r="A20" s="3" t="s">
        <v>16</v>
      </c>
      <c r="B20" s="3" t="s">
        <v>35</v>
      </c>
      <c r="C20" s="3" t="s">
        <v>3</v>
      </c>
      <c r="D20" s="4">
        <v>86015</v>
      </c>
      <c r="E20" s="4">
        <v>18100</v>
      </c>
    </row>
    <row r="21" spans="1:13" x14ac:dyDescent="0.3">
      <c r="A21" s="3" t="s">
        <v>16</v>
      </c>
      <c r="B21" s="3" t="s">
        <v>35</v>
      </c>
      <c r="C21" s="3" t="s">
        <v>4</v>
      </c>
      <c r="D21" s="4">
        <v>119409</v>
      </c>
      <c r="E21" s="4">
        <v>22149</v>
      </c>
      <c r="G21" s="6" t="s">
        <v>68</v>
      </c>
    </row>
    <row r="22" spans="1:13" x14ac:dyDescent="0.3">
      <c r="A22" s="3" t="s">
        <v>16</v>
      </c>
      <c r="B22" s="3" t="s">
        <v>35</v>
      </c>
      <c r="C22" s="3" t="s">
        <v>5</v>
      </c>
      <c r="D22" s="4">
        <v>115471</v>
      </c>
      <c r="E22" s="4">
        <v>23557</v>
      </c>
    </row>
    <row r="23" spans="1:13" x14ac:dyDescent="0.3">
      <c r="A23" s="3" t="s">
        <v>16</v>
      </c>
      <c r="B23" s="3" t="s">
        <v>35</v>
      </c>
      <c r="C23" s="3" t="s">
        <v>6</v>
      </c>
      <c r="D23" s="4">
        <v>101440</v>
      </c>
      <c r="E23" s="4">
        <v>22259</v>
      </c>
      <c r="H23" s="8" t="s">
        <v>60</v>
      </c>
    </row>
    <row r="24" spans="1:13" x14ac:dyDescent="0.3">
      <c r="A24" s="3" t="s">
        <v>16</v>
      </c>
      <c r="B24" s="3" t="s">
        <v>34</v>
      </c>
      <c r="C24" s="3" t="s">
        <v>2</v>
      </c>
      <c r="D24" s="4">
        <v>3148</v>
      </c>
      <c r="E24" s="4">
        <v>99</v>
      </c>
      <c r="H24" t="s">
        <v>36</v>
      </c>
      <c r="J24" t="s">
        <v>58</v>
      </c>
      <c r="K24" t="s">
        <v>57</v>
      </c>
      <c r="L24" s="10" t="s">
        <v>45</v>
      </c>
      <c r="M24" s="10" t="s">
        <v>59</v>
      </c>
    </row>
    <row r="25" spans="1:13" x14ac:dyDescent="0.3">
      <c r="A25" s="3" t="s">
        <v>16</v>
      </c>
      <c r="B25" s="3" t="s">
        <v>34</v>
      </c>
      <c r="C25" s="3" t="s">
        <v>3</v>
      </c>
      <c r="D25" s="4">
        <v>2976</v>
      </c>
      <c r="E25" s="4">
        <v>62</v>
      </c>
      <c r="G25" s="8" t="s">
        <v>55</v>
      </c>
      <c r="H25" t="s">
        <v>43</v>
      </c>
      <c r="I25" t="s">
        <v>44</v>
      </c>
    </row>
    <row r="26" spans="1:13" x14ac:dyDescent="0.3">
      <c r="A26" s="3" t="s">
        <v>16</v>
      </c>
      <c r="B26" s="3" t="s">
        <v>34</v>
      </c>
      <c r="C26" s="3" t="s">
        <v>4</v>
      </c>
      <c r="D26" s="4">
        <v>2942</v>
      </c>
      <c r="E26" s="4">
        <v>87</v>
      </c>
      <c r="G26" s="5" t="s">
        <v>2</v>
      </c>
      <c r="H26" s="7">
        <v>1115006</v>
      </c>
      <c r="I26" s="7">
        <v>307365</v>
      </c>
      <c r="J26" s="7">
        <v>1115006</v>
      </c>
      <c r="K26" s="7">
        <v>307365</v>
      </c>
    </row>
    <row r="27" spans="1:13" x14ac:dyDescent="0.3">
      <c r="A27" s="3" t="s">
        <v>16</v>
      </c>
      <c r="B27" s="3" t="s">
        <v>34</v>
      </c>
      <c r="C27" s="3" t="s">
        <v>5</v>
      </c>
      <c r="D27" s="4">
        <v>2874</v>
      </c>
      <c r="E27" s="4">
        <v>51</v>
      </c>
      <c r="G27" s="5" t="s">
        <v>3</v>
      </c>
      <c r="H27" s="7">
        <v>875236</v>
      </c>
      <c r="I27" s="7">
        <v>236688</v>
      </c>
      <c r="J27" s="7">
        <v>875236</v>
      </c>
      <c r="K27" s="7">
        <v>236688</v>
      </c>
      <c r="L27">
        <f>(H26+H27)/2</f>
        <v>995121</v>
      </c>
      <c r="M27">
        <f>I27/L27</f>
        <v>0.23784846264926576</v>
      </c>
    </row>
    <row r="28" spans="1:13" x14ac:dyDescent="0.3">
      <c r="A28" s="3" t="s">
        <v>16</v>
      </c>
      <c r="B28" s="3" t="s">
        <v>34</v>
      </c>
      <c r="C28" s="3" t="s">
        <v>6</v>
      </c>
      <c r="D28" s="4">
        <v>2887</v>
      </c>
      <c r="E28" s="4">
        <v>96</v>
      </c>
      <c r="G28" s="5" t="s">
        <v>4</v>
      </c>
      <c r="H28" s="7">
        <v>1094292</v>
      </c>
      <c r="I28" s="7">
        <v>270569</v>
      </c>
      <c r="J28" s="7">
        <v>1094292</v>
      </c>
      <c r="K28" s="7">
        <v>270569</v>
      </c>
      <c r="L28">
        <f t="shared" ref="L28:L31" si="2">(H27+H28)/2</f>
        <v>984764</v>
      </c>
      <c r="M28">
        <f t="shared" ref="M28:M31" si="3">I28/L28</f>
        <v>0.27475516976656333</v>
      </c>
    </row>
    <row r="29" spans="1:13" x14ac:dyDescent="0.3">
      <c r="A29" s="3" t="s">
        <v>17</v>
      </c>
      <c r="B29" s="3" t="s">
        <v>37</v>
      </c>
      <c r="C29" s="3" t="s">
        <v>2</v>
      </c>
      <c r="D29" s="4">
        <v>85916</v>
      </c>
      <c r="E29" s="4">
        <v>43069</v>
      </c>
      <c r="G29" s="5" t="s">
        <v>5</v>
      </c>
      <c r="H29" s="7">
        <v>1160772</v>
      </c>
      <c r="I29" s="7">
        <v>281770</v>
      </c>
      <c r="J29" s="7">
        <v>1160772</v>
      </c>
      <c r="K29" s="7">
        <v>281770</v>
      </c>
      <c r="L29">
        <f t="shared" si="2"/>
        <v>1127532</v>
      </c>
      <c r="M29">
        <f t="shared" si="3"/>
        <v>0.24989978111485972</v>
      </c>
    </row>
    <row r="30" spans="1:13" x14ac:dyDescent="0.3">
      <c r="A30" s="3" t="s">
        <v>17</v>
      </c>
      <c r="B30" s="3" t="s">
        <v>37</v>
      </c>
      <c r="C30" s="3" t="s">
        <v>3</v>
      </c>
      <c r="D30" s="4">
        <v>118964</v>
      </c>
      <c r="E30" s="4">
        <v>44874</v>
      </c>
      <c r="G30" s="5" t="s">
        <v>6</v>
      </c>
      <c r="H30" s="7">
        <v>1061707</v>
      </c>
      <c r="I30" s="7">
        <v>326986</v>
      </c>
      <c r="J30" s="7">
        <v>1061707</v>
      </c>
      <c r="K30" s="7">
        <v>326986</v>
      </c>
      <c r="L30">
        <f>(H29+H30)/2</f>
        <v>1111239.5</v>
      </c>
      <c r="M30">
        <f t="shared" si="3"/>
        <v>0.29425339901974329</v>
      </c>
    </row>
    <row r="31" spans="1:13" x14ac:dyDescent="0.3">
      <c r="A31" s="3" t="s">
        <v>17</v>
      </c>
      <c r="B31" s="3" t="s">
        <v>37</v>
      </c>
      <c r="C31" s="3" t="s">
        <v>4</v>
      </c>
      <c r="D31" s="4">
        <v>143314</v>
      </c>
      <c r="E31" s="4">
        <v>54096</v>
      </c>
      <c r="G31" s="5" t="s">
        <v>42</v>
      </c>
      <c r="H31" s="7">
        <v>5307013</v>
      </c>
      <c r="I31" s="7">
        <v>1423378</v>
      </c>
      <c r="J31" s="7">
        <v>5307013</v>
      </c>
      <c r="K31" s="7">
        <v>1423378</v>
      </c>
      <c r="L31" s="10">
        <f>(H30+H31)/2</f>
        <v>3184360</v>
      </c>
      <c r="M31" s="10">
        <f t="shared" si="3"/>
        <v>0.44699029004258312</v>
      </c>
    </row>
    <row r="32" spans="1:13" x14ac:dyDescent="0.3">
      <c r="A32" s="3" t="s">
        <v>17</v>
      </c>
      <c r="B32" s="3" t="s">
        <v>37</v>
      </c>
      <c r="C32" s="3" t="s">
        <v>5</v>
      </c>
      <c r="D32" s="4">
        <v>135609</v>
      </c>
      <c r="E32" s="4">
        <v>48192</v>
      </c>
      <c r="G32" s="13" t="s">
        <v>51</v>
      </c>
      <c r="H32" s="10"/>
      <c r="I32" s="10"/>
      <c r="J32" s="10"/>
      <c r="K32" s="10"/>
      <c r="L32" s="10"/>
      <c r="M32" s="10">
        <f>SUM(M27:M30)</f>
        <v>1.0567568125504321</v>
      </c>
    </row>
    <row r="33" spans="1:9" x14ac:dyDescent="0.3">
      <c r="A33" s="3" t="s">
        <v>17</v>
      </c>
      <c r="B33" s="3" t="s">
        <v>37</v>
      </c>
      <c r="C33" s="3" t="s">
        <v>6</v>
      </c>
      <c r="D33" s="4">
        <v>125146</v>
      </c>
      <c r="E33" s="4">
        <v>55146</v>
      </c>
      <c r="G33" s="12" t="s">
        <v>48</v>
      </c>
      <c r="H33" s="11"/>
      <c r="I33" s="15">
        <f>AVERAGE(I26,I27,I28,I29,I30)</f>
        <v>284675.59999999998</v>
      </c>
    </row>
    <row r="34" spans="1:9" x14ac:dyDescent="0.3">
      <c r="A34" s="3" t="s">
        <v>17</v>
      </c>
      <c r="B34" s="3" t="s">
        <v>38</v>
      </c>
      <c r="C34" s="3" t="s">
        <v>2</v>
      </c>
      <c r="D34" s="4">
        <v>98195</v>
      </c>
      <c r="E34" s="4">
        <v>30490</v>
      </c>
      <c r="G34" s="12" t="s">
        <v>50</v>
      </c>
      <c r="H34" s="11"/>
      <c r="I34" s="12">
        <f>GETPIVOTDATA("Suma de VTA PZS",$G$8,"MES","Mayo")/I33</f>
        <v>9.5710591283552233</v>
      </c>
    </row>
    <row r="35" spans="1:9" x14ac:dyDescent="0.3">
      <c r="A35" s="3" t="s">
        <v>17</v>
      </c>
      <c r="B35" s="3" t="s">
        <v>38</v>
      </c>
      <c r="C35" s="3" t="s">
        <v>3</v>
      </c>
      <c r="D35" s="4">
        <v>135556</v>
      </c>
      <c r="E35" s="4">
        <v>32523</v>
      </c>
      <c r="G35" s="12" t="s">
        <v>49</v>
      </c>
      <c r="H35" s="11"/>
      <c r="I35" s="12">
        <f>I34*12</f>
        <v>114.85270954026268</v>
      </c>
    </row>
    <row r="36" spans="1:9" x14ac:dyDescent="0.3">
      <c r="A36" s="3" t="s">
        <v>17</v>
      </c>
      <c r="B36" s="3" t="s">
        <v>38</v>
      </c>
      <c r="C36" s="3" t="s">
        <v>4</v>
      </c>
      <c r="D36" s="4">
        <v>148936</v>
      </c>
      <c r="E36" s="4">
        <v>44904</v>
      </c>
      <c r="G36" s="12" t="s">
        <v>56</v>
      </c>
      <c r="H36" s="11"/>
      <c r="I36" s="12">
        <f>I35*30</f>
        <v>3445.5812862078806</v>
      </c>
    </row>
    <row r="37" spans="1:9" x14ac:dyDescent="0.3">
      <c r="A37" s="3" t="s">
        <v>17</v>
      </c>
      <c r="B37" s="3" t="s">
        <v>38</v>
      </c>
      <c r="C37" s="3" t="s">
        <v>5</v>
      </c>
      <c r="D37" s="4">
        <v>134983</v>
      </c>
      <c r="E37" s="4">
        <v>39270</v>
      </c>
      <c r="G37" s="5"/>
    </row>
    <row r="38" spans="1:9" x14ac:dyDescent="0.3">
      <c r="A38" s="3" t="s">
        <v>17</v>
      </c>
      <c r="B38" s="3" t="s">
        <v>38</v>
      </c>
      <c r="C38" s="3" t="s">
        <v>6</v>
      </c>
      <c r="D38" s="4">
        <v>117099</v>
      </c>
      <c r="E38" s="4">
        <v>42116</v>
      </c>
      <c r="G38" s="5"/>
    </row>
    <row r="39" spans="1:9" x14ac:dyDescent="0.3">
      <c r="A39" s="3" t="s">
        <v>17</v>
      </c>
      <c r="B39" s="3" t="s">
        <v>36</v>
      </c>
      <c r="C39" s="3" t="s">
        <v>2</v>
      </c>
      <c r="D39" s="4">
        <v>75285</v>
      </c>
      <c r="E39" s="4">
        <v>20613</v>
      </c>
      <c r="G39" s="5"/>
    </row>
    <row r="40" spans="1:9" x14ac:dyDescent="0.3">
      <c r="A40" s="3" t="s">
        <v>17</v>
      </c>
      <c r="B40" s="3" t="s">
        <v>36</v>
      </c>
      <c r="C40" s="3" t="s">
        <v>3</v>
      </c>
      <c r="D40" s="4">
        <v>55783</v>
      </c>
      <c r="E40" s="4">
        <v>15286</v>
      </c>
    </row>
    <row r="41" spans="1:9" x14ac:dyDescent="0.3">
      <c r="A41" s="3" t="s">
        <v>17</v>
      </c>
      <c r="B41" s="3" t="s">
        <v>36</v>
      </c>
      <c r="C41" s="3" t="s">
        <v>4</v>
      </c>
      <c r="D41" s="4">
        <v>71682</v>
      </c>
      <c r="E41" s="4">
        <v>17228</v>
      </c>
    </row>
    <row r="42" spans="1:9" x14ac:dyDescent="0.3">
      <c r="A42" s="3" t="s">
        <v>17</v>
      </c>
      <c r="B42" s="3" t="s">
        <v>36</v>
      </c>
      <c r="C42" s="3" t="s">
        <v>5</v>
      </c>
      <c r="D42" s="4">
        <v>77263</v>
      </c>
      <c r="E42" s="4">
        <v>19162</v>
      </c>
    </row>
    <row r="43" spans="1:9" x14ac:dyDescent="0.3">
      <c r="A43" s="3" t="s">
        <v>17</v>
      </c>
      <c r="B43" s="3" t="s">
        <v>36</v>
      </c>
      <c r="C43" s="3" t="s">
        <v>6</v>
      </c>
      <c r="D43" s="4">
        <v>72017</v>
      </c>
      <c r="E43" s="4">
        <v>23633</v>
      </c>
    </row>
    <row r="44" spans="1:9" x14ac:dyDescent="0.3">
      <c r="A44" s="3" t="s">
        <v>17</v>
      </c>
      <c r="B44" s="3" t="s">
        <v>35</v>
      </c>
      <c r="C44" s="3" t="s">
        <v>2</v>
      </c>
      <c r="D44" s="4">
        <v>186101</v>
      </c>
      <c r="E44" s="4">
        <v>55032</v>
      </c>
    </row>
    <row r="45" spans="1:9" x14ac:dyDescent="0.3">
      <c r="A45" s="3" t="s">
        <v>17</v>
      </c>
      <c r="B45" s="3" t="s">
        <v>35</v>
      </c>
      <c r="C45" s="3" t="s">
        <v>3</v>
      </c>
      <c r="D45" s="4">
        <v>219246</v>
      </c>
      <c r="E45" s="4">
        <v>51602</v>
      </c>
    </row>
    <row r="46" spans="1:9" x14ac:dyDescent="0.3">
      <c r="A46" s="3" t="s">
        <v>17</v>
      </c>
      <c r="B46" s="3" t="s">
        <v>35</v>
      </c>
      <c r="C46" s="3" t="s">
        <v>4</v>
      </c>
      <c r="D46" s="4">
        <v>292047</v>
      </c>
      <c r="E46" s="4">
        <v>68681</v>
      </c>
    </row>
    <row r="47" spans="1:9" x14ac:dyDescent="0.3">
      <c r="A47" s="3" t="s">
        <v>17</v>
      </c>
      <c r="B47" s="3" t="s">
        <v>35</v>
      </c>
      <c r="C47" s="3" t="s">
        <v>5</v>
      </c>
      <c r="D47" s="4">
        <v>295448</v>
      </c>
      <c r="E47" s="4">
        <v>62033</v>
      </c>
    </row>
    <row r="48" spans="1:9" x14ac:dyDescent="0.3">
      <c r="A48" s="3" t="s">
        <v>17</v>
      </c>
      <c r="B48" s="3" t="s">
        <v>35</v>
      </c>
      <c r="C48" s="3" t="s">
        <v>6</v>
      </c>
      <c r="D48" s="4">
        <v>245076</v>
      </c>
      <c r="E48" s="4">
        <v>65778</v>
      </c>
    </row>
    <row r="49" spans="1:5" x14ac:dyDescent="0.3">
      <c r="A49" s="3" t="s">
        <v>17</v>
      </c>
      <c r="B49" s="3" t="s">
        <v>34</v>
      </c>
      <c r="C49" s="3" t="s">
        <v>2</v>
      </c>
      <c r="D49" s="4">
        <v>4374</v>
      </c>
      <c r="E49" s="4">
        <v>428</v>
      </c>
    </row>
    <row r="50" spans="1:5" x14ac:dyDescent="0.3">
      <c r="A50" s="3" t="s">
        <v>17</v>
      </c>
      <c r="B50" s="3" t="s">
        <v>34</v>
      </c>
      <c r="C50" s="3" t="s">
        <v>3</v>
      </c>
      <c r="D50" s="4">
        <v>3790</v>
      </c>
      <c r="E50" s="4">
        <v>353</v>
      </c>
    </row>
    <row r="51" spans="1:5" x14ac:dyDescent="0.3">
      <c r="A51" s="3" t="s">
        <v>17</v>
      </c>
      <c r="B51" s="3" t="s">
        <v>34</v>
      </c>
      <c r="C51" s="3" t="s">
        <v>4</v>
      </c>
      <c r="D51" s="4">
        <v>3572</v>
      </c>
      <c r="E51" s="4">
        <v>229</v>
      </c>
    </row>
    <row r="52" spans="1:5" x14ac:dyDescent="0.3">
      <c r="A52" s="3" t="s">
        <v>17</v>
      </c>
      <c r="B52" s="3" t="s">
        <v>34</v>
      </c>
      <c r="C52" s="3" t="s">
        <v>5</v>
      </c>
      <c r="D52" s="4">
        <v>3373</v>
      </c>
      <c r="E52" s="4">
        <v>249</v>
      </c>
    </row>
    <row r="53" spans="1:5" x14ac:dyDescent="0.3">
      <c r="A53" s="3" t="s">
        <v>17</v>
      </c>
      <c r="B53" s="3" t="s">
        <v>34</v>
      </c>
      <c r="C53" s="3" t="s">
        <v>6</v>
      </c>
      <c r="D53" s="4">
        <v>3381</v>
      </c>
      <c r="E53" s="4">
        <v>246</v>
      </c>
    </row>
    <row r="54" spans="1:5" x14ac:dyDescent="0.3">
      <c r="A54" s="3" t="s">
        <v>18</v>
      </c>
      <c r="B54" s="3" t="s">
        <v>37</v>
      </c>
      <c r="C54" s="3" t="s">
        <v>2</v>
      </c>
      <c r="D54" s="4">
        <v>66715</v>
      </c>
      <c r="E54" s="4">
        <v>33641</v>
      </c>
    </row>
    <row r="55" spans="1:5" x14ac:dyDescent="0.3">
      <c r="A55" s="3" t="s">
        <v>18</v>
      </c>
      <c r="B55" s="3" t="s">
        <v>37</v>
      </c>
      <c r="C55" s="3" t="s">
        <v>3</v>
      </c>
      <c r="D55" s="4">
        <v>76541</v>
      </c>
      <c r="E55" s="4">
        <v>35127</v>
      </c>
    </row>
    <row r="56" spans="1:5" x14ac:dyDescent="0.3">
      <c r="A56" s="3" t="s">
        <v>18</v>
      </c>
      <c r="B56" s="3" t="s">
        <v>37</v>
      </c>
      <c r="C56" s="3" t="s">
        <v>4</v>
      </c>
      <c r="D56" s="4">
        <v>95302</v>
      </c>
      <c r="E56" s="4">
        <v>42269</v>
      </c>
    </row>
    <row r="57" spans="1:5" x14ac:dyDescent="0.3">
      <c r="A57" s="3" t="s">
        <v>18</v>
      </c>
      <c r="B57" s="3" t="s">
        <v>37</v>
      </c>
      <c r="C57" s="3" t="s">
        <v>5</v>
      </c>
      <c r="D57" s="4">
        <v>85652</v>
      </c>
      <c r="E57" s="4">
        <v>36420</v>
      </c>
    </row>
    <row r="58" spans="1:5" x14ac:dyDescent="0.3">
      <c r="A58" s="3" t="s">
        <v>18</v>
      </c>
      <c r="B58" s="3" t="s">
        <v>37</v>
      </c>
      <c r="C58" s="3" t="s">
        <v>6</v>
      </c>
      <c r="D58" s="4">
        <v>83633</v>
      </c>
      <c r="E58" s="4">
        <v>41168</v>
      </c>
    </row>
    <row r="59" spans="1:5" x14ac:dyDescent="0.3">
      <c r="A59" s="3" t="s">
        <v>18</v>
      </c>
      <c r="B59" s="3" t="s">
        <v>38</v>
      </c>
      <c r="C59" s="3" t="s">
        <v>2</v>
      </c>
      <c r="D59" s="4">
        <v>60805</v>
      </c>
      <c r="E59" s="4">
        <v>26575</v>
      </c>
    </row>
    <row r="60" spans="1:5" x14ac:dyDescent="0.3">
      <c r="A60" s="3" t="s">
        <v>18</v>
      </c>
      <c r="B60" s="3" t="s">
        <v>38</v>
      </c>
      <c r="C60" s="3" t="s">
        <v>3</v>
      </c>
      <c r="D60" s="4">
        <v>81974</v>
      </c>
      <c r="E60" s="4">
        <v>28618</v>
      </c>
    </row>
    <row r="61" spans="1:5" x14ac:dyDescent="0.3">
      <c r="A61" s="3" t="s">
        <v>18</v>
      </c>
      <c r="B61" s="3" t="s">
        <v>38</v>
      </c>
      <c r="C61" s="3" t="s">
        <v>4</v>
      </c>
      <c r="D61" s="4">
        <v>89593</v>
      </c>
      <c r="E61" s="4">
        <v>37427</v>
      </c>
    </row>
    <row r="62" spans="1:5" x14ac:dyDescent="0.3">
      <c r="A62" s="3" t="s">
        <v>18</v>
      </c>
      <c r="B62" s="3" t="s">
        <v>38</v>
      </c>
      <c r="C62" s="3" t="s">
        <v>5</v>
      </c>
      <c r="D62" s="4">
        <v>76805</v>
      </c>
      <c r="E62" s="4">
        <v>33686</v>
      </c>
    </row>
    <row r="63" spans="1:5" x14ac:dyDescent="0.3">
      <c r="A63" s="3" t="s">
        <v>18</v>
      </c>
      <c r="B63" s="3" t="s">
        <v>38</v>
      </c>
      <c r="C63" s="3" t="s">
        <v>6</v>
      </c>
      <c r="D63" s="4">
        <v>71703</v>
      </c>
      <c r="E63" s="4">
        <v>34716</v>
      </c>
    </row>
    <row r="64" spans="1:5" x14ac:dyDescent="0.3">
      <c r="A64" s="3" t="s">
        <v>18</v>
      </c>
      <c r="B64" s="3" t="s">
        <v>36</v>
      </c>
      <c r="C64" s="3" t="s">
        <v>2</v>
      </c>
      <c r="D64" s="4">
        <v>43589</v>
      </c>
      <c r="E64" s="4">
        <v>15303</v>
      </c>
    </row>
    <row r="65" spans="1:5" x14ac:dyDescent="0.3">
      <c r="A65" s="3" t="s">
        <v>18</v>
      </c>
      <c r="B65" s="3" t="s">
        <v>36</v>
      </c>
      <c r="C65" s="3" t="s">
        <v>3</v>
      </c>
      <c r="D65" s="4">
        <v>34415</v>
      </c>
      <c r="E65" s="4">
        <v>11656</v>
      </c>
    </row>
    <row r="66" spans="1:5" x14ac:dyDescent="0.3">
      <c r="A66" s="3" t="s">
        <v>18</v>
      </c>
      <c r="B66" s="3" t="s">
        <v>36</v>
      </c>
      <c r="C66" s="3" t="s">
        <v>4</v>
      </c>
      <c r="D66" s="4">
        <v>40752</v>
      </c>
      <c r="E66" s="4">
        <v>14560</v>
      </c>
    </row>
    <row r="67" spans="1:5" x14ac:dyDescent="0.3">
      <c r="A67" s="3" t="s">
        <v>18</v>
      </c>
      <c r="B67" s="3" t="s">
        <v>36</v>
      </c>
      <c r="C67" s="3" t="s">
        <v>5</v>
      </c>
      <c r="D67" s="4">
        <v>43323</v>
      </c>
      <c r="E67" s="4">
        <v>15679</v>
      </c>
    </row>
    <row r="68" spans="1:5" x14ac:dyDescent="0.3">
      <c r="A68" s="3" t="s">
        <v>18</v>
      </c>
      <c r="B68" s="3" t="s">
        <v>36</v>
      </c>
      <c r="C68" s="3" t="s">
        <v>6</v>
      </c>
      <c r="D68" s="4">
        <v>42040</v>
      </c>
      <c r="E68" s="4">
        <v>17748</v>
      </c>
    </row>
    <row r="69" spans="1:5" x14ac:dyDescent="0.3">
      <c r="A69" s="3" t="s">
        <v>18</v>
      </c>
      <c r="B69" s="3" t="s">
        <v>35</v>
      </c>
      <c r="C69" s="3" t="s">
        <v>2</v>
      </c>
      <c r="D69" s="4">
        <v>97605</v>
      </c>
      <c r="E69" s="4">
        <v>48489</v>
      </c>
    </row>
    <row r="70" spans="1:5" x14ac:dyDescent="0.3">
      <c r="A70" s="3" t="s">
        <v>18</v>
      </c>
      <c r="B70" s="3" t="s">
        <v>35</v>
      </c>
      <c r="C70" s="3" t="s">
        <v>3</v>
      </c>
      <c r="D70" s="4">
        <v>131625</v>
      </c>
      <c r="E70" s="4">
        <v>47373</v>
      </c>
    </row>
    <row r="71" spans="1:5" x14ac:dyDescent="0.3">
      <c r="A71" s="3" t="s">
        <v>18</v>
      </c>
      <c r="B71" s="3" t="s">
        <v>35</v>
      </c>
      <c r="C71" s="3" t="s">
        <v>4</v>
      </c>
      <c r="D71" s="4">
        <v>189589</v>
      </c>
      <c r="E71" s="4">
        <v>58498</v>
      </c>
    </row>
    <row r="72" spans="1:5" x14ac:dyDescent="0.3">
      <c r="A72" s="3" t="s">
        <v>18</v>
      </c>
      <c r="B72" s="3" t="s">
        <v>35</v>
      </c>
      <c r="C72" s="3" t="s">
        <v>5</v>
      </c>
      <c r="D72" s="4">
        <v>191057</v>
      </c>
      <c r="E72" s="4">
        <v>52223</v>
      </c>
    </row>
    <row r="73" spans="1:5" x14ac:dyDescent="0.3">
      <c r="A73" s="3" t="s">
        <v>18</v>
      </c>
      <c r="B73" s="3" t="s">
        <v>35</v>
      </c>
      <c r="C73" s="3" t="s">
        <v>6</v>
      </c>
      <c r="D73" s="4">
        <v>167336</v>
      </c>
      <c r="E73" s="4">
        <v>49514</v>
      </c>
    </row>
    <row r="74" spans="1:5" x14ac:dyDescent="0.3">
      <c r="A74" s="3" t="s">
        <v>18</v>
      </c>
      <c r="B74" s="3" t="s">
        <v>34</v>
      </c>
      <c r="C74" s="3" t="s">
        <v>2</v>
      </c>
      <c r="D74" s="4">
        <v>3495</v>
      </c>
      <c r="E74" s="4">
        <v>373</v>
      </c>
    </row>
    <row r="75" spans="1:5" x14ac:dyDescent="0.3">
      <c r="A75" s="3" t="s">
        <v>18</v>
      </c>
      <c r="B75" s="3" t="s">
        <v>34</v>
      </c>
      <c r="C75" s="3" t="s">
        <v>3</v>
      </c>
      <c r="D75" s="4">
        <v>3081</v>
      </c>
      <c r="E75" s="4">
        <v>241</v>
      </c>
    </row>
    <row r="76" spans="1:5" x14ac:dyDescent="0.3">
      <c r="A76" s="3" t="s">
        <v>18</v>
      </c>
      <c r="B76" s="3" t="s">
        <v>34</v>
      </c>
      <c r="C76" s="3" t="s">
        <v>4</v>
      </c>
      <c r="D76" s="4">
        <v>2957</v>
      </c>
      <c r="E76" s="4">
        <v>192</v>
      </c>
    </row>
    <row r="77" spans="1:5" x14ac:dyDescent="0.3">
      <c r="A77" s="3" t="s">
        <v>18</v>
      </c>
      <c r="B77" s="3" t="s">
        <v>34</v>
      </c>
      <c r="C77" s="3" t="s">
        <v>5</v>
      </c>
      <c r="D77" s="4">
        <v>2796</v>
      </c>
      <c r="E77" s="4">
        <v>170</v>
      </c>
    </row>
    <row r="78" spans="1:5" x14ac:dyDescent="0.3">
      <c r="A78" s="3" t="s">
        <v>18</v>
      </c>
      <c r="B78" s="3" t="s">
        <v>34</v>
      </c>
      <c r="C78" s="3" t="s">
        <v>6</v>
      </c>
      <c r="D78" s="4">
        <v>2827</v>
      </c>
      <c r="E78" s="4">
        <v>217</v>
      </c>
    </row>
    <row r="79" spans="1:5" x14ac:dyDescent="0.3">
      <c r="A79" s="3" t="s">
        <v>19</v>
      </c>
      <c r="B79" s="3" t="s">
        <v>37</v>
      </c>
      <c r="C79" s="3" t="s">
        <v>2</v>
      </c>
      <c r="D79" s="4">
        <v>143735</v>
      </c>
      <c r="E79" s="4">
        <v>66995</v>
      </c>
    </row>
    <row r="80" spans="1:5" x14ac:dyDescent="0.3">
      <c r="A80" s="3" t="s">
        <v>19</v>
      </c>
      <c r="B80" s="3" t="s">
        <v>37</v>
      </c>
      <c r="C80" s="3" t="s">
        <v>3</v>
      </c>
      <c r="D80" s="4">
        <v>188365</v>
      </c>
      <c r="E80" s="4">
        <v>71410</v>
      </c>
    </row>
    <row r="81" spans="1:5" x14ac:dyDescent="0.3">
      <c r="A81" s="3" t="s">
        <v>19</v>
      </c>
      <c r="B81" s="3" t="s">
        <v>37</v>
      </c>
      <c r="C81" s="3" t="s">
        <v>4</v>
      </c>
      <c r="D81" s="4">
        <v>222691</v>
      </c>
      <c r="E81" s="4">
        <v>85419</v>
      </c>
    </row>
    <row r="82" spans="1:5" x14ac:dyDescent="0.3">
      <c r="A82" s="3" t="s">
        <v>19</v>
      </c>
      <c r="B82" s="3" t="s">
        <v>37</v>
      </c>
      <c r="C82" s="3" t="s">
        <v>5</v>
      </c>
      <c r="D82" s="4">
        <v>212538</v>
      </c>
      <c r="E82" s="4">
        <v>73611</v>
      </c>
    </row>
    <row r="83" spans="1:5" x14ac:dyDescent="0.3">
      <c r="A83" s="3" t="s">
        <v>19</v>
      </c>
      <c r="B83" s="3" t="s">
        <v>37</v>
      </c>
      <c r="C83" s="3" t="s">
        <v>6</v>
      </c>
      <c r="D83" s="4">
        <v>194993</v>
      </c>
      <c r="E83" s="4">
        <v>85998</v>
      </c>
    </row>
    <row r="84" spans="1:5" x14ac:dyDescent="0.3">
      <c r="A84" s="3" t="s">
        <v>19</v>
      </c>
      <c r="B84" s="3" t="s">
        <v>38</v>
      </c>
      <c r="C84" s="3" t="s">
        <v>2</v>
      </c>
      <c r="D84" s="4">
        <v>169669</v>
      </c>
      <c r="E84" s="4">
        <v>52299</v>
      </c>
    </row>
    <row r="85" spans="1:5" x14ac:dyDescent="0.3">
      <c r="A85" s="3" t="s">
        <v>19</v>
      </c>
      <c r="B85" s="3" t="s">
        <v>38</v>
      </c>
      <c r="C85" s="3" t="s">
        <v>3</v>
      </c>
      <c r="D85" s="4">
        <v>231774</v>
      </c>
      <c r="E85" s="4">
        <v>59757</v>
      </c>
    </row>
    <row r="86" spans="1:5" x14ac:dyDescent="0.3">
      <c r="A86" s="3" t="s">
        <v>19</v>
      </c>
      <c r="B86" s="3" t="s">
        <v>38</v>
      </c>
      <c r="C86" s="3" t="s">
        <v>4</v>
      </c>
      <c r="D86" s="4">
        <v>259621</v>
      </c>
      <c r="E86" s="4">
        <v>81340</v>
      </c>
    </row>
    <row r="87" spans="1:5" x14ac:dyDescent="0.3">
      <c r="A87" s="3" t="s">
        <v>19</v>
      </c>
      <c r="B87" s="3" t="s">
        <v>38</v>
      </c>
      <c r="C87" s="3" t="s">
        <v>5</v>
      </c>
      <c r="D87" s="4">
        <v>236444</v>
      </c>
      <c r="E87" s="4">
        <v>68551</v>
      </c>
    </row>
    <row r="88" spans="1:5" x14ac:dyDescent="0.3">
      <c r="A88" s="3" t="s">
        <v>19</v>
      </c>
      <c r="B88" s="3" t="s">
        <v>38</v>
      </c>
      <c r="C88" s="3" t="s">
        <v>6</v>
      </c>
      <c r="D88" s="4">
        <v>207829</v>
      </c>
      <c r="E88" s="4">
        <v>72706</v>
      </c>
    </row>
    <row r="89" spans="1:5" x14ac:dyDescent="0.3">
      <c r="A89" s="3" t="s">
        <v>19</v>
      </c>
      <c r="B89" s="3" t="s">
        <v>36</v>
      </c>
      <c r="C89" s="3" t="s">
        <v>2</v>
      </c>
      <c r="D89" s="4">
        <v>96336</v>
      </c>
      <c r="E89" s="4">
        <v>31110</v>
      </c>
    </row>
    <row r="90" spans="1:5" x14ac:dyDescent="0.3">
      <c r="A90" s="3" t="s">
        <v>19</v>
      </c>
      <c r="B90" s="3" t="s">
        <v>36</v>
      </c>
      <c r="C90" s="3" t="s">
        <v>3</v>
      </c>
      <c r="D90" s="4">
        <v>70134</v>
      </c>
      <c r="E90" s="4">
        <v>23046</v>
      </c>
    </row>
    <row r="91" spans="1:5" x14ac:dyDescent="0.3">
      <c r="A91" s="3" t="s">
        <v>19</v>
      </c>
      <c r="B91" s="3" t="s">
        <v>36</v>
      </c>
      <c r="C91" s="3" t="s">
        <v>4</v>
      </c>
      <c r="D91" s="4">
        <v>94670</v>
      </c>
      <c r="E91" s="4">
        <v>25466</v>
      </c>
    </row>
    <row r="92" spans="1:5" x14ac:dyDescent="0.3">
      <c r="A92" s="3" t="s">
        <v>19</v>
      </c>
      <c r="B92" s="3" t="s">
        <v>36</v>
      </c>
      <c r="C92" s="3" t="s">
        <v>5</v>
      </c>
      <c r="D92" s="4">
        <v>101887</v>
      </c>
      <c r="E92" s="4">
        <v>25596</v>
      </c>
    </row>
    <row r="93" spans="1:5" x14ac:dyDescent="0.3">
      <c r="A93" s="3" t="s">
        <v>19</v>
      </c>
      <c r="B93" s="3" t="s">
        <v>36</v>
      </c>
      <c r="C93" s="3" t="s">
        <v>6</v>
      </c>
      <c r="D93" s="4">
        <v>91215</v>
      </c>
      <c r="E93" s="4">
        <v>30578</v>
      </c>
    </row>
    <row r="94" spans="1:5" x14ac:dyDescent="0.3">
      <c r="A94" s="3" t="s">
        <v>19</v>
      </c>
      <c r="B94" s="3" t="s">
        <v>35</v>
      </c>
      <c r="C94" s="3" t="s">
        <v>2</v>
      </c>
      <c r="D94" s="4">
        <v>249598</v>
      </c>
      <c r="E94" s="4">
        <v>79409</v>
      </c>
    </row>
    <row r="95" spans="1:5" x14ac:dyDescent="0.3">
      <c r="A95" s="3" t="s">
        <v>19</v>
      </c>
      <c r="B95" s="3" t="s">
        <v>35</v>
      </c>
      <c r="C95" s="3" t="s">
        <v>3</v>
      </c>
      <c r="D95" s="4">
        <v>273427</v>
      </c>
      <c r="E95" s="4">
        <v>68671</v>
      </c>
    </row>
    <row r="96" spans="1:5" x14ac:dyDescent="0.3">
      <c r="A96" s="3" t="s">
        <v>19</v>
      </c>
      <c r="B96" s="3" t="s">
        <v>35</v>
      </c>
      <c r="C96" s="3" t="s">
        <v>4</v>
      </c>
      <c r="D96" s="4">
        <v>370268</v>
      </c>
      <c r="E96" s="4">
        <v>90242</v>
      </c>
    </row>
    <row r="97" spans="1:5" x14ac:dyDescent="0.3">
      <c r="A97" s="3" t="s">
        <v>19</v>
      </c>
      <c r="B97" s="3" t="s">
        <v>35</v>
      </c>
      <c r="C97" s="3" t="s">
        <v>5</v>
      </c>
      <c r="D97" s="4">
        <v>390864</v>
      </c>
      <c r="E97" s="4">
        <v>78797</v>
      </c>
    </row>
    <row r="98" spans="1:5" x14ac:dyDescent="0.3">
      <c r="A98" s="3" t="s">
        <v>19</v>
      </c>
      <c r="B98" s="3" t="s">
        <v>35</v>
      </c>
      <c r="C98" s="3" t="s">
        <v>6</v>
      </c>
      <c r="D98" s="4">
        <v>346301</v>
      </c>
      <c r="E98" s="4">
        <v>81557</v>
      </c>
    </row>
    <row r="99" spans="1:5" x14ac:dyDescent="0.3">
      <c r="A99" s="3" t="s">
        <v>19</v>
      </c>
      <c r="B99" s="3" t="s">
        <v>34</v>
      </c>
      <c r="C99" s="3" t="s">
        <v>2</v>
      </c>
      <c r="D99" s="4">
        <v>5617</v>
      </c>
      <c r="E99" s="4">
        <v>655</v>
      </c>
    </row>
    <row r="100" spans="1:5" x14ac:dyDescent="0.3">
      <c r="A100" s="3" t="s">
        <v>19</v>
      </c>
      <c r="B100" s="3" t="s">
        <v>34</v>
      </c>
      <c r="C100" s="3" t="s">
        <v>3</v>
      </c>
      <c r="D100" s="4">
        <v>5034</v>
      </c>
      <c r="E100" s="4">
        <v>471</v>
      </c>
    </row>
    <row r="101" spans="1:5" x14ac:dyDescent="0.3">
      <c r="A101" s="3" t="s">
        <v>19</v>
      </c>
      <c r="B101" s="3" t="s">
        <v>34</v>
      </c>
      <c r="C101" s="3" t="s">
        <v>4</v>
      </c>
      <c r="D101" s="4">
        <v>4593</v>
      </c>
      <c r="E101" s="4">
        <v>358</v>
      </c>
    </row>
    <row r="102" spans="1:5" x14ac:dyDescent="0.3">
      <c r="A102" s="3" t="s">
        <v>19</v>
      </c>
      <c r="B102" s="3" t="s">
        <v>34</v>
      </c>
      <c r="C102" s="3" t="s">
        <v>5</v>
      </c>
      <c r="D102" s="4">
        <v>4274</v>
      </c>
      <c r="E102" s="4">
        <v>322</v>
      </c>
    </row>
    <row r="103" spans="1:5" x14ac:dyDescent="0.3">
      <c r="A103" s="3" t="s">
        <v>19</v>
      </c>
      <c r="B103" s="3" t="s">
        <v>34</v>
      </c>
      <c r="C103" s="3" t="s">
        <v>6</v>
      </c>
      <c r="D103" s="4">
        <v>4294</v>
      </c>
      <c r="E103" s="4">
        <v>385</v>
      </c>
    </row>
    <row r="104" spans="1:5" x14ac:dyDescent="0.3">
      <c r="A104" s="3" t="s">
        <v>20</v>
      </c>
      <c r="B104" s="3" t="s">
        <v>37</v>
      </c>
      <c r="C104" s="3" t="s">
        <v>2</v>
      </c>
      <c r="D104" s="4">
        <v>92300</v>
      </c>
      <c r="E104" s="4">
        <v>31483</v>
      </c>
    </row>
    <row r="105" spans="1:5" x14ac:dyDescent="0.3">
      <c r="A105" s="3" t="s">
        <v>20</v>
      </c>
      <c r="B105" s="3" t="s">
        <v>37</v>
      </c>
      <c r="C105" s="3" t="s">
        <v>3</v>
      </c>
      <c r="D105" s="4">
        <v>120225</v>
      </c>
      <c r="E105" s="4">
        <v>36774</v>
      </c>
    </row>
    <row r="106" spans="1:5" x14ac:dyDescent="0.3">
      <c r="A106" s="3" t="s">
        <v>20</v>
      </c>
      <c r="B106" s="3" t="s">
        <v>37</v>
      </c>
      <c r="C106" s="3" t="s">
        <v>4</v>
      </c>
      <c r="D106" s="4">
        <v>147987</v>
      </c>
      <c r="E106" s="4">
        <v>45287</v>
      </c>
    </row>
    <row r="107" spans="1:5" x14ac:dyDescent="0.3">
      <c r="A107" s="3" t="s">
        <v>20</v>
      </c>
      <c r="B107" s="3" t="s">
        <v>37</v>
      </c>
      <c r="C107" s="3" t="s">
        <v>5</v>
      </c>
      <c r="D107" s="4">
        <v>141941</v>
      </c>
      <c r="E107" s="4">
        <v>39095</v>
      </c>
    </row>
    <row r="108" spans="1:5" x14ac:dyDescent="0.3">
      <c r="A108" s="3" t="s">
        <v>20</v>
      </c>
      <c r="B108" s="3" t="s">
        <v>37</v>
      </c>
      <c r="C108" s="3" t="s">
        <v>6</v>
      </c>
      <c r="D108" s="4">
        <v>129400</v>
      </c>
      <c r="E108" s="4">
        <v>43855</v>
      </c>
    </row>
    <row r="109" spans="1:5" x14ac:dyDescent="0.3">
      <c r="A109" s="3" t="s">
        <v>20</v>
      </c>
      <c r="B109" s="3" t="s">
        <v>38</v>
      </c>
      <c r="C109" s="3" t="s">
        <v>2</v>
      </c>
      <c r="D109" s="4">
        <v>102284</v>
      </c>
      <c r="E109" s="4">
        <v>21572</v>
      </c>
    </row>
    <row r="110" spans="1:5" x14ac:dyDescent="0.3">
      <c r="A110" s="3" t="s">
        <v>20</v>
      </c>
      <c r="B110" s="3" t="s">
        <v>38</v>
      </c>
      <c r="C110" s="3" t="s">
        <v>3</v>
      </c>
      <c r="D110" s="4">
        <v>134783</v>
      </c>
      <c r="E110" s="4">
        <v>29580</v>
      </c>
    </row>
    <row r="111" spans="1:5" x14ac:dyDescent="0.3">
      <c r="A111" s="3" t="s">
        <v>20</v>
      </c>
      <c r="B111" s="3" t="s">
        <v>38</v>
      </c>
      <c r="C111" s="3" t="s">
        <v>4</v>
      </c>
      <c r="D111" s="4">
        <v>147813</v>
      </c>
      <c r="E111" s="4">
        <v>37382</v>
      </c>
    </row>
    <row r="112" spans="1:5" x14ac:dyDescent="0.3">
      <c r="A112" s="3" t="s">
        <v>20</v>
      </c>
      <c r="B112" s="3" t="s">
        <v>38</v>
      </c>
      <c r="C112" s="3" t="s">
        <v>5</v>
      </c>
      <c r="D112" s="4">
        <v>143968</v>
      </c>
      <c r="E112" s="4">
        <v>33537</v>
      </c>
    </row>
    <row r="113" spans="1:5" x14ac:dyDescent="0.3">
      <c r="A113" s="3" t="s">
        <v>20</v>
      </c>
      <c r="B113" s="3" t="s">
        <v>38</v>
      </c>
      <c r="C113" s="3" t="s">
        <v>6</v>
      </c>
      <c r="D113" s="4">
        <v>127506</v>
      </c>
      <c r="E113" s="4">
        <v>36926</v>
      </c>
    </row>
    <row r="114" spans="1:5" x14ac:dyDescent="0.3">
      <c r="A114" s="3" t="s">
        <v>20</v>
      </c>
      <c r="B114" s="3" t="s">
        <v>36</v>
      </c>
      <c r="C114" s="3" t="s">
        <v>2</v>
      </c>
      <c r="D114" s="4">
        <v>66978</v>
      </c>
      <c r="E114" s="4">
        <v>12504</v>
      </c>
    </row>
    <row r="115" spans="1:5" x14ac:dyDescent="0.3">
      <c r="A115" s="3" t="s">
        <v>20</v>
      </c>
      <c r="B115" s="3" t="s">
        <v>36</v>
      </c>
      <c r="C115" s="3" t="s">
        <v>3</v>
      </c>
      <c r="D115" s="4">
        <v>57009</v>
      </c>
      <c r="E115" s="4">
        <v>11269</v>
      </c>
    </row>
    <row r="116" spans="1:5" x14ac:dyDescent="0.3">
      <c r="A116" s="3" t="s">
        <v>20</v>
      </c>
      <c r="B116" s="3" t="s">
        <v>36</v>
      </c>
      <c r="C116" s="3" t="s">
        <v>4</v>
      </c>
      <c r="D116" s="4">
        <v>67831</v>
      </c>
      <c r="E116" s="4">
        <v>12837</v>
      </c>
    </row>
    <row r="117" spans="1:5" x14ac:dyDescent="0.3">
      <c r="A117" s="3" t="s">
        <v>20</v>
      </c>
      <c r="B117" s="3" t="s">
        <v>36</v>
      </c>
      <c r="C117" s="3" t="s">
        <v>5</v>
      </c>
      <c r="D117" s="4">
        <v>68242</v>
      </c>
      <c r="E117" s="4">
        <v>13589</v>
      </c>
    </row>
    <row r="118" spans="1:5" x14ac:dyDescent="0.3">
      <c r="A118" s="3" t="s">
        <v>20</v>
      </c>
      <c r="B118" s="3" t="s">
        <v>36</v>
      </c>
      <c r="C118" s="3" t="s">
        <v>6</v>
      </c>
      <c r="D118" s="4">
        <v>62739</v>
      </c>
      <c r="E118" s="4">
        <v>16130</v>
      </c>
    </row>
    <row r="119" spans="1:5" x14ac:dyDescent="0.3">
      <c r="A119" s="3" t="s">
        <v>20</v>
      </c>
      <c r="B119" s="3" t="s">
        <v>35</v>
      </c>
      <c r="C119" s="3" t="s">
        <v>2</v>
      </c>
      <c r="D119" s="4">
        <v>135152</v>
      </c>
      <c r="E119" s="4">
        <v>23903</v>
      </c>
    </row>
    <row r="120" spans="1:5" x14ac:dyDescent="0.3">
      <c r="A120" s="3" t="s">
        <v>20</v>
      </c>
      <c r="B120" s="3" t="s">
        <v>35</v>
      </c>
      <c r="C120" s="3" t="s">
        <v>3</v>
      </c>
      <c r="D120" s="4">
        <v>155063</v>
      </c>
      <c r="E120" s="4">
        <v>24492</v>
      </c>
    </row>
    <row r="121" spans="1:5" x14ac:dyDescent="0.3">
      <c r="A121" s="3" t="s">
        <v>20</v>
      </c>
      <c r="B121" s="3" t="s">
        <v>35</v>
      </c>
      <c r="C121" s="3" t="s">
        <v>4</v>
      </c>
      <c r="D121" s="4">
        <v>203890</v>
      </c>
      <c r="E121" s="4">
        <v>34232</v>
      </c>
    </row>
    <row r="122" spans="1:5" x14ac:dyDescent="0.3">
      <c r="A122" s="3" t="s">
        <v>20</v>
      </c>
      <c r="B122" s="3" t="s">
        <v>35</v>
      </c>
      <c r="C122" s="3" t="s">
        <v>5</v>
      </c>
      <c r="D122" s="4">
        <v>225182</v>
      </c>
      <c r="E122" s="4">
        <v>32972</v>
      </c>
    </row>
    <row r="123" spans="1:5" x14ac:dyDescent="0.3">
      <c r="A123" s="3" t="s">
        <v>20</v>
      </c>
      <c r="B123" s="3" t="s">
        <v>35</v>
      </c>
      <c r="C123" s="3" t="s">
        <v>6</v>
      </c>
      <c r="D123" s="4">
        <v>188098</v>
      </c>
      <c r="E123" s="4">
        <v>31921</v>
      </c>
    </row>
    <row r="124" spans="1:5" x14ac:dyDescent="0.3">
      <c r="A124" s="3" t="s">
        <v>20</v>
      </c>
      <c r="B124" s="3" t="s">
        <v>34</v>
      </c>
      <c r="C124" s="3" t="s">
        <v>2</v>
      </c>
      <c r="D124" s="4">
        <v>6676</v>
      </c>
      <c r="E124" s="4">
        <v>476</v>
      </c>
    </row>
    <row r="125" spans="1:5" x14ac:dyDescent="0.3">
      <c r="A125" s="3" t="s">
        <v>20</v>
      </c>
      <c r="B125" s="3" t="s">
        <v>34</v>
      </c>
      <c r="C125" s="3" t="s">
        <v>3</v>
      </c>
      <c r="D125" s="4">
        <v>6130</v>
      </c>
      <c r="E125" s="4">
        <v>376</v>
      </c>
    </row>
    <row r="126" spans="1:5" x14ac:dyDescent="0.3">
      <c r="A126" s="3" t="s">
        <v>20</v>
      </c>
      <c r="B126" s="3" t="s">
        <v>34</v>
      </c>
      <c r="C126" s="3" t="s">
        <v>4</v>
      </c>
      <c r="D126" s="4">
        <v>5847</v>
      </c>
      <c r="E126" s="4">
        <v>377</v>
      </c>
    </row>
    <row r="127" spans="1:5" x14ac:dyDescent="0.3">
      <c r="A127" s="3" t="s">
        <v>20</v>
      </c>
      <c r="B127" s="3" t="s">
        <v>34</v>
      </c>
      <c r="C127" s="3" t="s">
        <v>5</v>
      </c>
      <c r="D127" s="4">
        <v>5477</v>
      </c>
      <c r="E127" s="4">
        <v>401</v>
      </c>
    </row>
    <row r="128" spans="1:5" x14ac:dyDescent="0.3">
      <c r="A128" s="3" t="s">
        <v>20</v>
      </c>
      <c r="B128" s="3" t="s">
        <v>34</v>
      </c>
      <c r="C128" s="3" t="s">
        <v>6</v>
      </c>
      <c r="D128" s="4">
        <v>5236</v>
      </c>
      <c r="E128" s="4">
        <v>426</v>
      </c>
    </row>
    <row r="129" spans="1:5" x14ac:dyDescent="0.3">
      <c r="A129" s="3" t="s">
        <v>21</v>
      </c>
      <c r="B129" s="3" t="s">
        <v>37</v>
      </c>
      <c r="C129" s="3" t="s">
        <v>2</v>
      </c>
      <c r="D129" s="4">
        <v>74016</v>
      </c>
      <c r="E129" s="4">
        <v>21765</v>
      </c>
    </row>
    <row r="130" spans="1:5" x14ac:dyDescent="0.3">
      <c r="A130" s="3" t="s">
        <v>21</v>
      </c>
      <c r="B130" s="3" t="s">
        <v>37</v>
      </c>
      <c r="C130" s="3" t="s">
        <v>3</v>
      </c>
      <c r="D130" s="4">
        <v>93232</v>
      </c>
      <c r="E130" s="4">
        <v>25319</v>
      </c>
    </row>
    <row r="131" spans="1:5" x14ac:dyDescent="0.3">
      <c r="A131" s="3" t="s">
        <v>21</v>
      </c>
      <c r="B131" s="3" t="s">
        <v>37</v>
      </c>
      <c r="C131" s="3" t="s">
        <v>4</v>
      </c>
      <c r="D131" s="4">
        <v>110310</v>
      </c>
      <c r="E131" s="4">
        <v>31276</v>
      </c>
    </row>
    <row r="132" spans="1:5" x14ac:dyDescent="0.3">
      <c r="A132" s="3" t="s">
        <v>21</v>
      </c>
      <c r="B132" s="3" t="s">
        <v>37</v>
      </c>
      <c r="C132" s="3" t="s">
        <v>5</v>
      </c>
      <c r="D132" s="4">
        <v>107736</v>
      </c>
      <c r="E132" s="4">
        <v>27694</v>
      </c>
    </row>
    <row r="133" spans="1:5" x14ac:dyDescent="0.3">
      <c r="A133" s="3" t="s">
        <v>21</v>
      </c>
      <c r="B133" s="3" t="s">
        <v>37</v>
      </c>
      <c r="C133" s="3" t="s">
        <v>6</v>
      </c>
      <c r="D133" s="4">
        <v>97627</v>
      </c>
      <c r="E133" s="4">
        <v>30501</v>
      </c>
    </row>
    <row r="134" spans="1:5" x14ac:dyDescent="0.3">
      <c r="A134" s="3" t="s">
        <v>21</v>
      </c>
      <c r="B134" s="3" t="s">
        <v>38</v>
      </c>
      <c r="C134" s="3" t="s">
        <v>2</v>
      </c>
      <c r="D134" s="4">
        <v>70444</v>
      </c>
      <c r="E134" s="4">
        <v>13088</v>
      </c>
    </row>
    <row r="135" spans="1:5" x14ac:dyDescent="0.3">
      <c r="A135" s="3" t="s">
        <v>21</v>
      </c>
      <c r="B135" s="3" t="s">
        <v>38</v>
      </c>
      <c r="C135" s="3" t="s">
        <v>3</v>
      </c>
      <c r="D135" s="4">
        <v>93802</v>
      </c>
      <c r="E135" s="4">
        <v>17882</v>
      </c>
    </row>
    <row r="136" spans="1:5" x14ac:dyDescent="0.3">
      <c r="A136" s="3" t="s">
        <v>21</v>
      </c>
      <c r="B136" s="3" t="s">
        <v>38</v>
      </c>
      <c r="C136" s="3" t="s">
        <v>4</v>
      </c>
      <c r="D136" s="4">
        <v>101327</v>
      </c>
      <c r="E136" s="4">
        <v>23000</v>
      </c>
    </row>
    <row r="137" spans="1:5" x14ac:dyDescent="0.3">
      <c r="A137" s="3" t="s">
        <v>21</v>
      </c>
      <c r="B137" s="3" t="s">
        <v>38</v>
      </c>
      <c r="C137" s="3" t="s">
        <v>5</v>
      </c>
      <c r="D137" s="4">
        <v>98670</v>
      </c>
      <c r="E137" s="4">
        <v>21643</v>
      </c>
    </row>
    <row r="138" spans="1:5" x14ac:dyDescent="0.3">
      <c r="A138" s="3" t="s">
        <v>21</v>
      </c>
      <c r="B138" s="3" t="s">
        <v>38</v>
      </c>
      <c r="C138" s="3" t="s">
        <v>6</v>
      </c>
      <c r="D138" s="4">
        <v>83851</v>
      </c>
      <c r="E138" s="4">
        <v>23103</v>
      </c>
    </row>
    <row r="139" spans="1:5" x14ac:dyDescent="0.3">
      <c r="A139" s="3" t="s">
        <v>21</v>
      </c>
      <c r="B139" s="3" t="s">
        <v>36</v>
      </c>
      <c r="C139" s="3" t="s">
        <v>2</v>
      </c>
      <c r="D139" s="4">
        <v>46822</v>
      </c>
      <c r="E139" s="4">
        <v>11715</v>
      </c>
    </row>
    <row r="140" spans="1:5" x14ac:dyDescent="0.3">
      <c r="A140" s="3" t="s">
        <v>21</v>
      </c>
      <c r="B140" s="3" t="s">
        <v>36</v>
      </c>
      <c r="C140" s="3" t="s">
        <v>3</v>
      </c>
      <c r="D140" s="4">
        <v>37947</v>
      </c>
      <c r="E140" s="4">
        <v>10304</v>
      </c>
    </row>
    <row r="141" spans="1:5" x14ac:dyDescent="0.3">
      <c r="A141" s="3" t="s">
        <v>21</v>
      </c>
      <c r="B141" s="3" t="s">
        <v>36</v>
      </c>
      <c r="C141" s="3" t="s">
        <v>4</v>
      </c>
      <c r="D141" s="4">
        <v>49745</v>
      </c>
      <c r="E141" s="4">
        <v>11226</v>
      </c>
    </row>
    <row r="142" spans="1:5" x14ac:dyDescent="0.3">
      <c r="A142" s="3" t="s">
        <v>21</v>
      </c>
      <c r="B142" s="3" t="s">
        <v>36</v>
      </c>
      <c r="C142" s="3" t="s">
        <v>5</v>
      </c>
      <c r="D142" s="4">
        <v>51932</v>
      </c>
      <c r="E142" s="4">
        <v>11372</v>
      </c>
    </row>
    <row r="143" spans="1:5" x14ac:dyDescent="0.3">
      <c r="A143" s="3" t="s">
        <v>21</v>
      </c>
      <c r="B143" s="3" t="s">
        <v>36</v>
      </c>
      <c r="C143" s="3" t="s">
        <v>6</v>
      </c>
      <c r="D143" s="4">
        <v>47920</v>
      </c>
      <c r="E143" s="4">
        <v>13699</v>
      </c>
    </row>
    <row r="144" spans="1:5" x14ac:dyDescent="0.3">
      <c r="A144" s="3" t="s">
        <v>21</v>
      </c>
      <c r="B144" s="3" t="s">
        <v>35</v>
      </c>
      <c r="C144" s="3" t="s">
        <v>2</v>
      </c>
      <c r="D144" s="4">
        <v>63469</v>
      </c>
      <c r="E144" s="4">
        <v>16858</v>
      </c>
    </row>
    <row r="145" spans="1:5" x14ac:dyDescent="0.3">
      <c r="A145" s="3" t="s">
        <v>21</v>
      </c>
      <c r="B145" s="3" t="s">
        <v>35</v>
      </c>
      <c r="C145" s="3" t="s">
        <v>3</v>
      </c>
      <c r="D145" s="4">
        <v>85327</v>
      </c>
      <c r="E145" s="4">
        <v>18502</v>
      </c>
    </row>
    <row r="146" spans="1:5" x14ac:dyDescent="0.3">
      <c r="A146" s="3" t="s">
        <v>21</v>
      </c>
      <c r="B146" s="3" t="s">
        <v>35</v>
      </c>
      <c r="C146" s="3" t="s">
        <v>4</v>
      </c>
      <c r="D146" s="4">
        <v>126574</v>
      </c>
      <c r="E146" s="4">
        <v>25023</v>
      </c>
    </row>
    <row r="147" spans="1:5" x14ac:dyDescent="0.3">
      <c r="A147" s="3" t="s">
        <v>21</v>
      </c>
      <c r="B147" s="3" t="s">
        <v>35</v>
      </c>
      <c r="C147" s="3" t="s">
        <v>5</v>
      </c>
      <c r="D147" s="4">
        <v>137783</v>
      </c>
      <c r="E147" s="4">
        <v>25403</v>
      </c>
    </row>
    <row r="148" spans="1:5" x14ac:dyDescent="0.3">
      <c r="A148" s="3" t="s">
        <v>21</v>
      </c>
      <c r="B148" s="3" t="s">
        <v>35</v>
      </c>
      <c r="C148" s="3" t="s">
        <v>6</v>
      </c>
      <c r="D148" s="4">
        <v>119578</v>
      </c>
      <c r="E148" s="4">
        <v>26437</v>
      </c>
    </row>
    <row r="149" spans="1:5" x14ac:dyDescent="0.3">
      <c r="A149" s="3" t="s">
        <v>21</v>
      </c>
      <c r="B149" s="3" t="s">
        <v>34</v>
      </c>
      <c r="C149" s="3" t="s">
        <v>2</v>
      </c>
      <c r="D149" s="4">
        <v>5880</v>
      </c>
      <c r="E149" s="4">
        <v>398</v>
      </c>
    </row>
    <row r="150" spans="1:5" x14ac:dyDescent="0.3">
      <c r="A150" s="3" t="s">
        <v>21</v>
      </c>
      <c r="B150" s="3" t="s">
        <v>34</v>
      </c>
      <c r="C150" s="3" t="s">
        <v>3</v>
      </c>
      <c r="D150" s="4">
        <v>5349</v>
      </c>
      <c r="E150" s="4">
        <v>275</v>
      </c>
    </row>
    <row r="151" spans="1:5" x14ac:dyDescent="0.3">
      <c r="A151" s="3" t="s">
        <v>21</v>
      </c>
      <c r="B151" s="3" t="s">
        <v>34</v>
      </c>
      <c r="C151" s="3" t="s">
        <v>4</v>
      </c>
      <c r="D151" s="4">
        <v>5231</v>
      </c>
      <c r="E151" s="4">
        <v>266</v>
      </c>
    </row>
    <row r="152" spans="1:5" x14ac:dyDescent="0.3">
      <c r="A152" s="3" t="s">
        <v>21</v>
      </c>
      <c r="B152" s="3" t="s">
        <v>34</v>
      </c>
      <c r="C152" s="3" t="s">
        <v>5</v>
      </c>
      <c r="D152" s="4">
        <v>4981</v>
      </c>
      <c r="E152" s="4">
        <v>235</v>
      </c>
    </row>
    <row r="153" spans="1:5" x14ac:dyDescent="0.3">
      <c r="A153" s="3" t="s">
        <v>21</v>
      </c>
      <c r="B153" s="3" t="s">
        <v>34</v>
      </c>
      <c r="C153" s="3" t="s">
        <v>6</v>
      </c>
      <c r="D153" s="4">
        <v>4866</v>
      </c>
      <c r="E153" s="4">
        <v>313</v>
      </c>
    </row>
    <row r="154" spans="1:5" x14ac:dyDescent="0.3">
      <c r="A154" s="3" t="s">
        <v>22</v>
      </c>
      <c r="B154" s="3" t="s">
        <v>37</v>
      </c>
      <c r="C154" s="3" t="s">
        <v>2</v>
      </c>
      <c r="D154" s="4">
        <v>75573</v>
      </c>
      <c r="E154" s="4">
        <v>39675</v>
      </c>
    </row>
    <row r="155" spans="1:5" x14ac:dyDescent="0.3">
      <c r="A155" s="3" t="s">
        <v>22</v>
      </c>
      <c r="B155" s="3" t="s">
        <v>37</v>
      </c>
      <c r="C155" s="3" t="s">
        <v>3</v>
      </c>
      <c r="D155" s="4">
        <v>111850</v>
      </c>
      <c r="E155" s="4">
        <v>42619</v>
      </c>
    </row>
    <row r="156" spans="1:5" x14ac:dyDescent="0.3">
      <c r="A156" s="3" t="s">
        <v>22</v>
      </c>
      <c r="B156" s="3" t="s">
        <v>37</v>
      </c>
      <c r="C156" s="3" t="s">
        <v>4</v>
      </c>
      <c r="D156" s="4">
        <v>130255</v>
      </c>
      <c r="E156" s="4">
        <v>51224</v>
      </c>
    </row>
    <row r="157" spans="1:5" x14ac:dyDescent="0.3">
      <c r="A157" s="3" t="s">
        <v>22</v>
      </c>
      <c r="B157" s="3" t="s">
        <v>37</v>
      </c>
      <c r="C157" s="3" t="s">
        <v>5</v>
      </c>
      <c r="D157" s="4">
        <v>124854</v>
      </c>
      <c r="E157" s="4">
        <v>46502</v>
      </c>
    </row>
    <row r="158" spans="1:5" x14ac:dyDescent="0.3">
      <c r="A158" s="3" t="s">
        <v>22</v>
      </c>
      <c r="B158" s="3" t="s">
        <v>37</v>
      </c>
      <c r="C158" s="3" t="s">
        <v>6</v>
      </c>
      <c r="D158" s="4">
        <v>114894</v>
      </c>
      <c r="E158" s="4">
        <v>49867</v>
      </c>
    </row>
    <row r="159" spans="1:5" x14ac:dyDescent="0.3">
      <c r="A159" s="3" t="s">
        <v>22</v>
      </c>
      <c r="B159" s="3" t="s">
        <v>38</v>
      </c>
      <c r="C159" s="3" t="s">
        <v>2</v>
      </c>
      <c r="D159" s="4">
        <v>95065</v>
      </c>
      <c r="E159" s="4">
        <v>29952</v>
      </c>
    </row>
    <row r="160" spans="1:5" x14ac:dyDescent="0.3">
      <c r="A160" s="3" t="s">
        <v>22</v>
      </c>
      <c r="B160" s="3" t="s">
        <v>38</v>
      </c>
      <c r="C160" s="3" t="s">
        <v>3</v>
      </c>
      <c r="D160" s="4">
        <v>125023</v>
      </c>
      <c r="E160" s="4">
        <v>33331</v>
      </c>
    </row>
    <row r="161" spans="1:5" x14ac:dyDescent="0.3">
      <c r="A161" s="3" t="s">
        <v>22</v>
      </c>
      <c r="B161" s="3" t="s">
        <v>38</v>
      </c>
      <c r="C161" s="3" t="s">
        <v>4</v>
      </c>
      <c r="D161" s="4">
        <v>136972</v>
      </c>
      <c r="E161" s="4">
        <v>42748</v>
      </c>
    </row>
    <row r="162" spans="1:5" x14ac:dyDescent="0.3">
      <c r="A162" s="3" t="s">
        <v>22</v>
      </c>
      <c r="B162" s="3" t="s">
        <v>38</v>
      </c>
      <c r="C162" s="3" t="s">
        <v>5</v>
      </c>
      <c r="D162" s="4">
        <v>127894</v>
      </c>
      <c r="E162" s="4">
        <v>38449</v>
      </c>
    </row>
    <row r="163" spans="1:5" x14ac:dyDescent="0.3">
      <c r="A163" s="3" t="s">
        <v>22</v>
      </c>
      <c r="B163" s="3" t="s">
        <v>38</v>
      </c>
      <c r="C163" s="3" t="s">
        <v>6</v>
      </c>
      <c r="D163" s="4">
        <v>111472</v>
      </c>
      <c r="E163" s="4">
        <v>40373</v>
      </c>
    </row>
    <row r="164" spans="1:5" x14ac:dyDescent="0.3">
      <c r="A164" s="3" t="s">
        <v>22</v>
      </c>
      <c r="B164" s="3" t="s">
        <v>36</v>
      </c>
      <c r="C164" s="3" t="s">
        <v>2</v>
      </c>
      <c r="D164" s="4">
        <v>68500</v>
      </c>
      <c r="E164" s="4">
        <v>19613</v>
      </c>
    </row>
    <row r="165" spans="1:5" x14ac:dyDescent="0.3">
      <c r="A165" s="3" t="s">
        <v>22</v>
      </c>
      <c r="B165" s="3" t="s">
        <v>36</v>
      </c>
      <c r="C165" s="3" t="s">
        <v>3</v>
      </c>
      <c r="D165" s="4">
        <v>54096</v>
      </c>
      <c r="E165" s="4">
        <v>15629</v>
      </c>
    </row>
    <row r="166" spans="1:5" x14ac:dyDescent="0.3">
      <c r="A166" s="3" t="s">
        <v>22</v>
      </c>
      <c r="B166" s="3" t="s">
        <v>36</v>
      </c>
      <c r="C166" s="3" t="s">
        <v>4</v>
      </c>
      <c r="D166" s="4">
        <v>65435</v>
      </c>
      <c r="E166" s="4">
        <v>18343</v>
      </c>
    </row>
    <row r="167" spans="1:5" x14ac:dyDescent="0.3">
      <c r="A167" s="3" t="s">
        <v>22</v>
      </c>
      <c r="B167" s="3" t="s">
        <v>36</v>
      </c>
      <c r="C167" s="3" t="s">
        <v>5</v>
      </c>
      <c r="D167" s="4">
        <v>73647</v>
      </c>
      <c r="E167" s="4">
        <v>19121</v>
      </c>
    </row>
    <row r="168" spans="1:5" x14ac:dyDescent="0.3">
      <c r="A168" s="3" t="s">
        <v>22</v>
      </c>
      <c r="B168" s="3" t="s">
        <v>36</v>
      </c>
      <c r="C168" s="3" t="s">
        <v>6</v>
      </c>
      <c r="D168" s="4">
        <v>63642</v>
      </c>
      <c r="E168" s="4">
        <v>19895</v>
      </c>
    </row>
    <row r="169" spans="1:5" x14ac:dyDescent="0.3">
      <c r="A169" s="3" t="s">
        <v>22</v>
      </c>
      <c r="B169" s="3" t="s">
        <v>35</v>
      </c>
      <c r="C169" s="3" t="s">
        <v>2</v>
      </c>
      <c r="D169" s="4">
        <v>132605</v>
      </c>
      <c r="E169" s="4">
        <v>51985</v>
      </c>
    </row>
    <row r="170" spans="1:5" x14ac:dyDescent="0.3">
      <c r="A170" s="3" t="s">
        <v>22</v>
      </c>
      <c r="B170" s="3" t="s">
        <v>35</v>
      </c>
      <c r="C170" s="3" t="s">
        <v>3</v>
      </c>
      <c r="D170" s="4">
        <v>177114</v>
      </c>
      <c r="E170" s="4">
        <v>51605</v>
      </c>
    </row>
    <row r="171" spans="1:5" x14ac:dyDescent="0.3">
      <c r="A171" s="3" t="s">
        <v>22</v>
      </c>
      <c r="B171" s="3" t="s">
        <v>35</v>
      </c>
      <c r="C171" s="3" t="s">
        <v>4</v>
      </c>
      <c r="D171" s="4">
        <v>260153</v>
      </c>
      <c r="E171" s="4">
        <v>67362</v>
      </c>
    </row>
    <row r="172" spans="1:5" x14ac:dyDescent="0.3">
      <c r="A172" s="3" t="s">
        <v>22</v>
      </c>
      <c r="B172" s="3" t="s">
        <v>35</v>
      </c>
      <c r="C172" s="3" t="s">
        <v>5</v>
      </c>
      <c r="D172" s="4">
        <v>262171</v>
      </c>
      <c r="E172" s="4">
        <v>60413</v>
      </c>
    </row>
    <row r="173" spans="1:5" x14ac:dyDescent="0.3">
      <c r="A173" s="3" t="s">
        <v>22</v>
      </c>
      <c r="B173" s="3" t="s">
        <v>35</v>
      </c>
      <c r="C173" s="3" t="s">
        <v>6</v>
      </c>
      <c r="D173" s="4">
        <v>215602</v>
      </c>
      <c r="E173" s="4">
        <v>62205</v>
      </c>
    </row>
    <row r="174" spans="1:5" x14ac:dyDescent="0.3">
      <c r="A174" s="3" t="s">
        <v>22</v>
      </c>
      <c r="B174" s="3" t="s">
        <v>34</v>
      </c>
      <c r="C174" s="3" t="s">
        <v>2</v>
      </c>
      <c r="D174" s="4">
        <v>3928</v>
      </c>
      <c r="E174" s="4">
        <v>383</v>
      </c>
    </row>
    <row r="175" spans="1:5" x14ac:dyDescent="0.3">
      <c r="A175" s="3" t="s">
        <v>22</v>
      </c>
      <c r="B175" s="3" t="s">
        <v>34</v>
      </c>
      <c r="C175" s="3" t="s">
        <v>3</v>
      </c>
      <c r="D175" s="4">
        <v>3504</v>
      </c>
      <c r="E175" s="4">
        <v>346</v>
      </c>
    </row>
    <row r="176" spans="1:5" x14ac:dyDescent="0.3">
      <c r="A176" s="3" t="s">
        <v>22</v>
      </c>
      <c r="B176" s="3" t="s">
        <v>34</v>
      </c>
      <c r="C176" s="3" t="s">
        <v>4</v>
      </c>
      <c r="D176" s="4">
        <v>3239</v>
      </c>
      <c r="E176" s="4">
        <v>239</v>
      </c>
    </row>
    <row r="177" spans="1:5" x14ac:dyDescent="0.3">
      <c r="A177" s="3" t="s">
        <v>22</v>
      </c>
      <c r="B177" s="3" t="s">
        <v>34</v>
      </c>
      <c r="C177" s="3" t="s">
        <v>5</v>
      </c>
      <c r="D177" s="4">
        <v>3060</v>
      </c>
      <c r="E177" s="4">
        <v>270</v>
      </c>
    </row>
    <row r="178" spans="1:5" x14ac:dyDescent="0.3">
      <c r="A178" s="3" t="s">
        <v>22</v>
      </c>
      <c r="B178" s="3" t="s">
        <v>34</v>
      </c>
      <c r="C178" s="3" t="s">
        <v>6</v>
      </c>
      <c r="D178" s="4">
        <v>3067</v>
      </c>
      <c r="E178" s="4">
        <v>280</v>
      </c>
    </row>
    <row r="179" spans="1:5" x14ac:dyDescent="0.3">
      <c r="A179" s="3" t="s">
        <v>23</v>
      </c>
      <c r="B179" s="3" t="s">
        <v>37</v>
      </c>
      <c r="C179" s="3" t="s">
        <v>2</v>
      </c>
      <c r="D179" s="4">
        <v>131612</v>
      </c>
      <c r="E179" s="4">
        <v>70463</v>
      </c>
    </row>
    <row r="180" spans="1:5" x14ac:dyDescent="0.3">
      <c r="A180" s="3" t="s">
        <v>23</v>
      </c>
      <c r="B180" s="3" t="s">
        <v>37</v>
      </c>
      <c r="C180" s="3" t="s">
        <v>3</v>
      </c>
      <c r="D180" s="4">
        <v>188082</v>
      </c>
      <c r="E180" s="4">
        <v>75854</v>
      </c>
    </row>
    <row r="181" spans="1:5" x14ac:dyDescent="0.3">
      <c r="A181" s="3" t="s">
        <v>23</v>
      </c>
      <c r="B181" s="3" t="s">
        <v>37</v>
      </c>
      <c r="C181" s="3" t="s">
        <v>4</v>
      </c>
      <c r="D181" s="4">
        <v>227982</v>
      </c>
      <c r="E181" s="4">
        <v>92334</v>
      </c>
    </row>
    <row r="182" spans="1:5" x14ac:dyDescent="0.3">
      <c r="A182" s="3" t="s">
        <v>23</v>
      </c>
      <c r="B182" s="3" t="s">
        <v>37</v>
      </c>
      <c r="C182" s="3" t="s">
        <v>5</v>
      </c>
      <c r="D182" s="4">
        <v>208225</v>
      </c>
      <c r="E182" s="4">
        <v>77751</v>
      </c>
    </row>
    <row r="183" spans="1:5" x14ac:dyDescent="0.3">
      <c r="A183" s="3" t="s">
        <v>23</v>
      </c>
      <c r="B183" s="3" t="s">
        <v>37</v>
      </c>
      <c r="C183" s="3" t="s">
        <v>6</v>
      </c>
      <c r="D183" s="4">
        <v>195163</v>
      </c>
      <c r="E183" s="4">
        <v>90574</v>
      </c>
    </row>
    <row r="184" spans="1:5" x14ac:dyDescent="0.3">
      <c r="A184" s="3" t="s">
        <v>23</v>
      </c>
      <c r="B184" s="3" t="s">
        <v>38</v>
      </c>
      <c r="C184" s="3" t="s">
        <v>2</v>
      </c>
      <c r="D184" s="4">
        <v>156317</v>
      </c>
      <c r="E184" s="4">
        <v>53204</v>
      </c>
    </row>
    <row r="185" spans="1:5" x14ac:dyDescent="0.3">
      <c r="A185" s="3" t="s">
        <v>23</v>
      </c>
      <c r="B185" s="3" t="s">
        <v>38</v>
      </c>
      <c r="C185" s="3" t="s">
        <v>3</v>
      </c>
      <c r="D185" s="4">
        <v>227110</v>
      </c>
      <c r="E185" s="4">
        <v>59802</v>
      </c>
    </row>
    <row r="186" spans="1:5" x14ac:dyDescent="0.3">
      <c r="A186" s="3" t="s">
        <v>23</v>
      </c>
      <c r="B186" s="3" t="s">
        <v>38</v>
      </c>
      <c r="C186" s="3" t="s">
        <v>4</v>
      </c>
      <c r="D186" s="4">
        <v>247430</v>
      </c>
      <c r="E186" s="4">
        <v>80099</v>
      </c>
    </row>
    <row r="187" spans="1:5" x14ac:dyDescent="0.3">
      <c r="A187" s="3" t="s">
        <v>23</v>
      </c>
      <c r="B187" s="3" t="s">
        <v>38</v>
      </c>
      <c r="C187" s="3" t="s">
        <v>5</v>
      </c>
      <c r="D187" s="4">
        <v>219190</v>
      </c>
      <c r="E187" s="4">
        <v>67771</v>
      </c>
    </row>
    <row r="188" spans="1:5" x14ac:dyDescent="0.3">
      <c r="A188" s="3" t="s">
        <v>23</v>
      </c>
      <c r="B188" s="3" t="s">
        <v>38</v>
      </c>
      <c r="C188" s="3" t="s">
        <v>6</v>
      </c>
      <c r="D188" s="4">
        <v>191153</v>
      </c>
      <c r="E188" s="4">
        <v>72555</v>
      </c>
    </row>
    <row r="189" spans="1:5" x14ac:dyDescent="0.3">
      <c r="A189" s="3" t="s">
        <v>23</v>
      </c>
      <c r="B189" s="3" t="s">
        <v>36</v>
      </c>
      <c r="C189" s="3" t="s">
        <v>2</v>
      </c>
      <c r="D189" s="4">
        <v>116703</v>
      </c>
      <c r="E189" s="4">
        <v>33274</v>
      </c>
    </row>
    <row r="190" spans="1:5" x14ac:dyDescent="0.3">
      <c r="A190" s="3" t="s">
        <v>23</v>
      </c>
      <c r="B190" s="3" t="s">
        <v>36</v>
      </c>
      <c r="C190" s="3" t="s">
        <v>3</v>
      </c>
      <c r="D190" s="4">
        <v>93889</v>
      </c>
      <c r="E190" s="4">
        <v>27497</v>
      </c>
    </row>
    <row r="191" spans="1:5" x14ac:dyDescent="0.3">
      <c r="A191" s="3" t="s">
        <v>23</v>
      </c>
      <c r="B191" s="3" t="s">
        <v>36</v>
      </c>
      <c r="C191" s="3" t="s">
        <v>4</v>
      </c>
      <c r="D191" s="4">
        <v>115446</v>
      </c>
      <c r="E191" s="4">
        <v>32318</v>
      </c>
    </row>
    <row r="192" spans="1:5" x14ac:dyDescent="0.3">
      <c r="A192" s="3" t="s">
        <v>23</v>
      </c>
      <c r="B192" s="3" t="s">
        <v>36</v>
      </c>
      <c r="C192" s="3" t="s">
        <v>5</v>
      </c>
      <c r="D192" s="4">
        <v>126421</v>
      </c>
      <c r="E192" s="4">
        <v>33407</v>
      </c>
    </row>
    <row r="193" spans="1:5" x14ac:dyDescent="0.3">
      <c r="A193" s="3" t="s">
        <v>23</v>
      </c>
      <c r="B193" s="3" t="s">
        <v>36</v>
      </c>
      <c r="C193" s="3" t="s">
        <v>6</v>
      </c>
      <c r="D193" s="4">
        <v>111470</v>
      </c>
      <c r="E193" s="4">
        <v>36801</v>
      </c>
    </row>
    <row r="194" spans="1:5" x14ac:dyDescent="0.3">
      <c r="A194" s="3" t="s">
        <v>23</v>
      </c>
      <c r="B194" s="3" t="s">
        <v>35</v>
      </c>
      <c r="C194" s="3" t="s">
        <v>2</v>
      </c>
      <c r="D194" s="4">
        <v>265484</v>
      </c>
      <c r="E194" s="4">
        <v>92756</v>
      </c>
    </row>
    <row r="195" spans="1:5" x14ac:dyDescent="0.3">
      <c r="A195" s="3" t="s">
        <v>23</v>
      </c>
      <c r="B195" s="3" t="s">
        <v>35</v>
      </c>
      <c r="C195" s="3" t="s">
        <v>3</v>
      </c>
      <c r="D195" s="4">
        <v>341215</v>
      </c>
      <c r="E195" s="4">
        <v>90122</v>
      </c>
    </row>
    <row r="196" spans="1:5" x14ac:dyDescent="0.3">
      <c r="A196" s="3" t="s">
        <v>23</v>
      </c>
      <c r="B196" s="3" t="s">
        <v>35</v>
      </c>
      <c r="C196" s="3" t="s">
        <v>4</v>
      </c>
      <c r="D196" s="4">
        <v>444092</v>
      </c>
      <c r="E196" s="4">
        <v>120438</v>
      </c>
    </row>
    <row r="197" spans="1:5" x14ac:dyDescent="0.3">
      <c r="A197" s="3" t="s">
        <v>23</v>
      </c>
      <c r="B197" s="3" t="s">
        <v>35</v>
      </c>
      <c r="C197" s="3" t="s">
        <v>5</v>
      </c>
      <c r="D197" s="4">
        <v>445230</v>
      </c>
      <c r="E197" s="4">
        <v>101180</v>
      </c>
    </row>
    <row r="198" spans="1:5" x14ac:dyDescent="0.3">
      <c r="A198" s="3" t="s">
        <v>23</v>
      </c>
      <c r="B198" s="3" t="s">
        <v>35</v>
      </c>
      <c r="C198" s="3" t="s">
        <v>6</v>
      </c>
      <c r="D198" s="4">
        <v>381209</v>
      </c>
      <c r="E198" s="4">
        <v>104106</v>
      </c>
    </row>
    <row r="199" spans="1:5" x14ac:dyDescent="0.3">
      <c r="A199" s="3" t="s">
        <v>23</v>
      </c>
      <c r="B199" s="3" t="s">
        <v>34</v>
      </c>
      <c r="C199" s="3" t="s">
        <v>2</v>
      </c>
      <c r="D199" s="4">
        <v>6119</v>
      </c>
      <c r="E199" s="4">
        <v>590</v>
      </c>
    </row>
    <row r="200" spans="1:5" x14ac:dyDescent="0.3">
      <c r="A200" s="3" t="s">
        <v>23</v>
      </c>
      <c r="B200" s="3" t="s">
        <v>34</v>
      </c>
      <c r="C200" s="3" t="s">
        <v>3</v>
      </c>
      <c r="D200" s="4">
        <v>5406</v>
      </c>
      <c r="E200" s="4">
        <v>458</v>
      </c>
    </row>
    <row r="201" spans="1:5" x14ac:dyDescent="0.3">
      <c r="A201" s="3" t="s">
        <v>23</v>
      </c>
      <c r="B201" s="3" t="s">
        <v>34</v>
      </c>
      <c r="C201" s="3" t="s">
        <v>4</v>
      </c>
      <c r="D201" s="4">
        <v>5224</v>
      </c>
      <c r="E201" s="4">
        <v>403</v>
      </c>
    </row>
    <row r="202" spans="1:5" x14ac:dyDescent="0.3">
      <c r="A202" s="3" t="s">
        <v>23</v>
      </c>
      <c r="B202" s="3" t="s">
        <v>34</v>
      </c>
      <c r="C202" s="3" t="s">
        <v>5</v>
      </c>
      <c r="D202" s="4">
        <v>4879</v>
      </c>
      <c r="E202" s="4">
        <v>390</v>
      </c>
    </row>
    <row r="203" spans="1:5" x14ac:dyDescent="0.3">
      <c r="A203" s="3" t="s">
        <v>23</v>
      </c>
      <c r="B203" s="3" t="s">
        <v>34</v>
      </c>
      <c r="C203" s="3" t="s">
        <v>6</v>
      </c>
      <c r="D203" s="4">
        <v>4907</v>
      </c>
      <c r="E203" s="4">
        <v>460</v>
      </c>
    </row>
    <row r="204" spans="1:5" x14ac:dyDescent="0.3">
      <c r="A204" s="3" t="s">
        <v>24</v>
      </c>
      <c r="B204" s="3" t="s">
        <v>37</v>
      </c>
      <c r="C204" s="3" t="s">
        <v>2</v>
      </c>
      <c r="D204" s="4">
        <v>91665</v>
      </c>
      <c r="E204" s="4">
        <v>28259</v>
      </c>
    </row>
    <row r="205" spans="1:5" x14ac:dyDescent="0.3">
      <c r="A205" s="3" t="s">
        <v>24</v>
      </c>
      <c r="B205" s="3" t="s">
        <v>37</v>
      </c>
      <c r="C205" s="3" t="s">
        <v>3</v>
      </c>
      <c r="D205" s="4">
        <v>107990</v>
      </c>
      <c r="E205" s="4">
        <v>31702</v>
      </c>
    </row>
    <row r="206" spans="1:5" x14ac:dyDescent="0.3">
      <c r="A206" s="3" t="s">
        <v>24</v>
      </c>
      <c r="B206" s="3" t="s">
        <v>37</v>
      </c>
      <c r="C206" s="3" t="s">
        <v>4</v>
      </c>
      <c r="D206" s="4">
        <v>126381</v>
      </c>
      <c r="E206" s="4">
        <v>39365</v>
      </c>
    </row>
    <row r="207" spans="1:5" x14ac:dyDescent="0.3">
      <c r="A207" s="3" t="s">
        <v>24</v>
      </c>
      <c r="B207" s="3" t="s">
        <v>37</v>
      </c>
      <c r="C207" s="3" t="s">
        <v>5</v>
      </c>
      <c r="D207" s="4">
        <v>118795</v>
      </c>
      <c r="E207" s="4">
        <v>32901</v>
      </c>
    </row>
    <row r="208" spans="1:5" x14ac:dyDescent="0.3">
      <c r="A208" s="3" t="s">
        <v>24</v>
      </c>
      <c r="B208" s="3" t="s">
        <v>37</v>
      </c>
      <c r="C208" s="3" t="s">
        <v>6</v>
      </c>
      <c r="D208" s="4">
        <v>116454</v>
      </c>
      <c r="E208" s="4">
        <v>37072</v>
      </c>
    </row>
    <row r="209" spans="1:5" x14ac:dyDescent="0.3">
      <c r="A209" s="3" t="s">
        <v>24</v>
      </c>
      <c r="B209" s="3" t="s">
        <v>38</v>
      </c>
      <c r="C209" s="3" t="s">
        <v>2</v>
      </c>
      <c r="D209" s="4">
        <v>99094</v>
      </c>
      <c r="E209" s="4">
        <v>20483</v>
      </c>
    </row>
    <row r="210" spans="1:5" x14ac:dyDescent="0.3">
      <c r="A210" s="3" t="s">
        <v>24</v>
      </c>
      <c r="B210" s="3" t="s">
        <v>38</v>
      </c>
      <c r="C210" s="3" t="s">
        <v>3</v>
      </c>
      <c r="D210" s="4">
        <v>133069</v>
      </c>
      <c r="E210" s="4">
        <v>27754</v>
      </c>
    </row>
    <row r="211" spans="1:5" x14ac:dyDescent="0.3">
      <c r="A211" s="3" t="s">
        <v>24</v>
      </c>
      <c r="B211" s="3" t="s">
        <v>38</v>
      </c>
      <c r="C211" s="3" t="s">
        <v>4</v>
      </c>
      <c r="D211" s="4">
        <v>143251</v>
      </c>
      <c r="E211" s="4">
        <v>36953</v>
      </c>
    </row>
    <row r="212" spans="1:5" x14ac:dyDescent="0.3">
      <c r="A212" s="3" t="s">
        <v>24</v>
      </c>
      <c r="B212" s="3" t="s">
        <v>38</v>
      </c>
      <c r="C212" s="3" t="s">
        <v>5</v>
      </c>
      <c r="D212" s="4">
        <v>136590</v>
      </c>
      <c r="E212" s="4">
        <v>32605</v>
      </c>
    </row>
    <row r="213" spans="1:5" x14ac:dyDescent="0.3">
      <c r="A213" s="3" t="s">
        <v>24</v>
      </c>
      <c r="B213" s="3" t="s">
        <v>38</v>
      </c>
      <c r="C213" s="3" t="s">
        <v>6</v>
      </c>
      <c r="D213" s="4">
        <v>120639</v>
      </c>
      <c r="E213" s="4">
        <v>33831</v>
      </c>
    </row>
    <row r="214" spans="1:5" x14ac:dyDescent="0.3">
      <c r="A214" s="3" t="s">
        <v>24</v>
      </c>
      <c r="B214" s="3" t="s">
        <v>36</v>
      </c>
      <c r="C214" s="3" t="s">
        <v>2</v>
      </c>
      <c r="D214" s="4">
        <v>49728</v>
      </c>
      <c r="E214" s="4">
        <v>13995</v>
      </c>
    </row>
    <row r="215" spans="1:5" x14ac:dyDescent="0.3">
      <c r="A215" s="3" t="s">
        <v>24</v>
      </c>
      <c r="B215" s="3" t="s">
        <v>36</v>
      </c>
      <c r="C215" s="3" t="s">
        <v>3</v>
      </c>
      <c r="D215" s="4">
        <v>39084</v>
      </c>
      <c r="E215" s="4">
        <v>10536</v>
      </c>
    </row>
    <row r="216" spans="1:5" x14ac:dyDescent="0.3">
      <c r="A216" s="3" t="s">
        <v>24</v>
      </c>
      <c r="B216" s="3" t="s">
        <v>36</v>
      </c>
      <c r="C216" s="3" t="s">
        <v>4</v>
      </c>
      <c r="D216" s="4">
        <v>49548</v>
      </c>
      <c r="E216" s="4">
        <v>10414</v>
      </c>
    </row>
    <row r="217" spans="1:5" x14ac:dyDescent="0.3">
      <c r="A217" s="3" t="s">
        <v>24</v>
      </c>
      <c r="B217" s="3" t="s">
        <v>36</v>
      </c>
      <c r="C217" s="3" t="s">
        <v>5</v>
      </c>
      <c r="D217" s="4">
        <v>55884</v>
      </c>
      <c r="E217" s="4">
        <v>11814</v>
      </c>
    </row>
    <row r="218" spans="1:5" x14ac:dyDescent="0.3">
      <c r="A218" s="3" t="s">
        <v>24</v>
      </c>
      <c r="B218" s="3" t="s">
        <v>36</v>
      </c>
      <c r="C218" s="3" t="s">
        <v>6</v>
      </c>
      <c r="D218" s="4">
        <v>47975</v>
      </c>
      <c r="E218" s="4">
        <v>13105</v>
      </c>
    </row>
    <row r="219" spans="1:5" x14ac:dyDescent="0.3">
      <c r="A219" s="3" t="s">
        <v>24</v>
      </c>
      <c r="B219" s="3" t="s">
        <v>35</v>
      </c>
      <c r="C219" s="3" t="s">
        <v>2</v>
      </c>
      <c r="D219" s="4">
        <v>138233</v>
      </c>
      <c r="E219" s="4">
        <v>35606</v>
      </c>
    </row>
    <row r="220" spans="1:5" x14ac:dyDescent="0.3">
      <c r="A220" s="3" t="s">
        <v>24</v>
      </c>
      <c r="B220" s="3" t="s">
        <v>35</v>
      </c>
      <c r="C220" s="3" t="s">
        <v>3</v>
      </c>
      <c r="D220" s="4">
        <v>158659</v>
      </c>
      <c r="E220" s="4">
        <v>31615</v>
      </c>
    </row>
    <row r="221" spans="1:5" x14ac:dyDescent="0.3">
      <c r="A221" s="3" t="s">
        <v>24</v>
      </c>
      <c r="B221" s="3" t="s">
        <v>35</v>
      </c>
      <c r="C221" s="3" t="s">
        <v>4</v>
      </c>
      <c r="D221" s="4">
        <v>212026</v>
      </c>
      <c r="E221" s="4">
        <v>39570</v>
      </c>
    </row>
    <row r="222" spans="1:5" x14ac:dyDescent="0.3">
      <c r="A222" s="3" t="s">
        <v>24</v>
      </c>
      <c r="B222" s="3" t="s">
        <v>35</v>
      </c>
      <c r="C222" s="3" t="s">
        <v>5</v>
      </c>
      <c r="D222" s="4">
        <v>221747</v>
      </c>
      <c r="E222" s="4">
        <v>34853</v>
      </c>
    </row>
    <row r="223" spans="1:5" x14ac:dyDescent="0.3">
      <c r="A223" s="3" t="s">
        <v>24</v>
      </c>
      <c r="B223" s="3" t="s">
        <v>35</v>
      </c>
      <c r="C223" s="3" t="s">
        <v>6</v>
      </c>
      <c r="D223" s="4">
        <v>196965</v>
      </c>
      <c r="E223" s="4">
        <v>34591</v>
      </c>
    </row>
    <row r="224" spans="1:5" x14ac:dyDescent="0.3">
      <c r="A224" s="3" t="s">
        <v>24</v>
      </c>
      <c r="B224" s="3" t="s">
        <v>34</v>
      </c>
      <c r="C224" s="3" t="s">
        <v>2</v>
      </c>
      <c r="D224" s="4">
        <v>6943</v>
      </c>
      <c r="E224" s="4">
        <v>328</v>
      </c>
    </row>
    <row r="225" spans="1:5" x14ac:dyDescent="0.3">
      <c r="A225" s="3" t="s">
        <v>24</v>
      </c>
      <c r="B225" s="3" t="s">
        <v>34</v>
      </c>
      <c r="C225" s="3" t="s">
        <v>3</v>
      </c>
      <c r="D225" s="4">
        <v>6480</v>
      </c>
      <c r="E225" s="4">
        <v>239</v>
      </c>
    </row>
    <row r="226" spans="1:5" x14ac:dyDescent="0.3">
      <c r="A226" s="3" t="s">
        <v>24</v>
      </c>
      <c r="B226" s="3" t="s">
        <v>34</v>
      </c>
      <c r="C226" s="3" t="s">
        <v>4</v>
      </c>
      <c r="D226" s="4">
        <v>6224</v>
      </c>
      <c r="E226" s="4">
        <v>247</v>
      </c>
    </row>
    <row r="227" spans="1:5" x14ac:dyDescent="0.3">
      <c r="A227" s="3" t="s">
        <v>24</v>
      </c>
      <c r="B227" s="3" t="s">
        <v>34</v>
      </c>
      <c r="C227" s="3" t="s">
        <v>5</v>
      </c>
      <c r="D227" s="4">
        <v>6017</v>
      </c>
      <c r="E227" s="4">
        <v>242</v>
      </c>
    </row>
    <row r="228" spans="1:5" x14ac:dyDescent="0.3">
      <c r="A228" s="3" t="s">
        <v>24</v>
      </c>
      <c r="B228" s="3" t="s">
        <v>34</v>
      </c>
      <c r="C228" s="3" t="s">
        <v>6</v>
      </c>
      <c r="D228" s="4">
        <v>5918</v>
      </c>
      <c r="E228" s="4">
        <v>334</v>
      </c>
    </row>
    <row r="229" spans="1:5" x14ac:dyDescent="0.3">
      <c r="A229" s="3" t="s">
        <v>25</v>
      </c>
      <c r="B229" s="3" t="s">
        <v>37</v>
      </c>
      <c r="C229" s="3" t="s">
        <v>2</v>
      </c>
      <c r="D229" s="4">
        <v>64407</v>
      </c>
      <c r="E229" s="4">
        <v>26381</v>
      </c>
    </row>
    <row r="230" spans="1:5" x14ac:dyDescent="0.3">
      <c r="A230" s="3" t="s">
        <v>25</v>
      </c>
      <c r="B230" s="3" t="s">
        <v>37</v>
      </c>
      <c r="C230" s="3" t="s">
        <v>3</v>
      </c>
      <c r="D230" s="4">
        <v>84259</v>
      </c>
      <c r="E230" s="4">
        <v>26946</v>
      </c>
    </row>
    <row r="231" spans="1:5" x14ac:dyDescent="0.3">
      <c r="A231" s="3" t="s">
        <v>25</v>
      </c>
      <c r="B231" s="3" t="s">
        <v>37</v>
      </c>
      <c r="C231" s="3" t="s">
        <v>4</v>
      </c>
      <c r="D231" s="4">
        <v>93530</v>
      </c>
      <c r="E231" s="4">
        <v>32159</v>
      </c>
    </row>
    <row r="232" spans="1:5" x14ac:dyDescent="0.3">
      <c r="A232" s="3" t="s">
        <v>25</v>
      </c>
      <c r="B232" s="3" t="s">
        <v>37</v>
      </c>
      <c r="C232" s="3" t="s">
        <v>5</v>
      </c>
      <c r="D232" s="4">
        <v>89890</v>
      </c>
      <c r="E232" s="4">
        <v>29154</v>
      </c>
    </row>
    <row r="233" spans="1:5" x14ac:dyDescent="0.3">
      <c r="A233" s="3" t="s">
        <v>25</v>
      </c>
      <c r="B233" s="3" t="s">
        <v>37</v>
      </c>
      <c r="C233" s="3" t="s">
        <v>6</v>
      </c>
      <c r="D233" s="4">
        <v>87947</v>
      </c>
      <c r="E233" s="4">
        <v>34200</v>
      </c>
    </row>
    <row r="234" spans="1:5" x14ac:dyDescent="0.3">
      <c r="A234" s="3" t="s">
        <v>25</v>
      </c>
      <c r="B234" s="3" t="s">
        <v>38</v>
      </c>
      <c r="C234" s="3" t="s">
        <v>2</v>
      </c>
      <c r="D234" s="4">
        <v>73822</v>
      </c>
      <c r="E234" s="4">
        <v>20441</v>
      </c>
    </row>
    <row r="235" spans="1:5" x14ac:dyDescent="0.3">
      <c r="A235" s="3" t="s">
        <v>25</v>
      </c>
      <c r="B235" s="3" t="s">
        <v>38</v>
      </c>
      <c r="C235" s="3" t="s">
        <v>3</v>
      </c>
      <c r="D235" s="4">
        <v>98460</v>
      </c>
      <c r="E235" s="4">
        <v>21504</v>
      </c>
    </row>
    <row r="236" spans="1:5" x14ac:dyDescent="0.3">
      <c r="A236" s="3" t="s">
        <v>25</v>
      </c>
      <c r="B236" s="3" t="s">
        <v>38</v>
      </c>
      <c r="C236" s="3" t="s">
        <v>4</v>
      </c>
      <c r="D236" s="4">
        <v>108212</v>
      </c>
      <c r="E236" s="4">
        <v>29637</v>
      </c>
    </row>
    <row r="237" spans="1:5" x14ac:dyDescent="0.3">
      <c r="A237" s="3" t="s">
        <v>25</v>
      </c>
      <c r="B237" s="3" t="s">
        <v>38</v>
      </c>
      <c r="C237" s="3" t="s">
        <v>5</v>
      </c>
      <c r="D237" s="4">
        <v>101149</v>
      </c>
      <c r="E237" s="4">
        <v>26428</v>
      </c>
    </row>
    <row r="238" spans="1:5" x14ac:dyDescent="0.3">
      <c r="A238" s="3" t="s">
        <v>25</v>
      </c>
      <c r="B238" s="3" t="s">
        <v>38</v>
      </c>
      <c r="C238" s="3" t="s">
        <v>6</v>
      </c>
      <c r="D238" s="4">
        <v>90158</v>
      </c>
      <c r="E238" s="4">
        <v>28377</v>
      </c>
    </row>
    <row r="239" spans="1:5" x14ac:dyDescent="0.3">
      <c r="A239" s="3" t="s">
        <v>25</v>
      </c>
      <c r="B239" s="3" t="s">
        <v>36</v>
      </c>
      <c r="C239" s="3" t="s">
        <v>2</v>
      </c>
      <c r="D239" s="4">
        <v>56268</v>
      </c>
      <c r="E239" s="4">
        <v>12731</v>
      </c>
    </row>
    <row r="240" spans="1:5" x14ac:dyDescent="0.3">
      <c r="A240" s="3" t="s">
        <v>25</v>
      </c>
      <c r="B240" s="3" t="s">
        <v>36</v>
      </c>
      <c r="C240" s="3" t="s">
        <v>3</v>
      </c>
      <c r="D240" s="4">
        <v>44023</v>
      </c>
      <c r="E240" s="4">
        <v>10770</v>
      </c>
    </row>
    <row r="241" spans="1:5" x14ac:dyDescent="0.3">
      <c r="A241" s="3" t="s">
        <v>25</v>
      </c>
      <c r="B241" s="3" t="s">
        <v>36</v>
      </c>
      <c r="C241" s="3" t="s">
        <v>4</v>
      </c>
      <c r="D241" s="4">
        <v>52126</v>
      </c>
      <c r="E241" s="4">
        <v>12759</v>
      </c>
    </row>
    <row r="242" spans="1:5" x14ac:dyDescent="0.3">
      <c r="A242" s="3" t="s">
        <v>25</v>
      </c>
      <c r="B242" s="3" t="s">
        <v>36</v>
      </c>
      <c r="C242" s="3" t="s">
        <v>5</v>
      </c>
      <c r="D242" s="4">
        <v>54786</v>
      </c>
      <c r="E242" s="4">
        <v>13873</v>
      </c>
    </row>
    <row r="243" spans="1:5" x14ac:dyDescent="0.3">
      <c r="A243" s="3" t="s">
        <v>25</v>
      </c>
      <c r="B243" s="3" t="s">
        <v>36</v>
      </c>
      <c r="C243" s="3" t="s">
        <v>6</v>
      </c>
      <c r="D243" s="4">
        <v>50758</v>
      </c>
      <c r="E243" s="4">
        <v>16693</v>
      </c>
    </row>
    <row r="244" spans="1:5" x14ac:dyDescent="0.3">
      <c r="A244" s="3" t="s">
        <v>25</v>
      </c>
      <c r="B244" s="3" t="s">
        <v>35</v>
      </c>
      <c r="C244" s="3" t="s">
        <v>2</v>
      </c>
      <c r="D244" s="4">
        <v>122047</v>
      </c>
      <c r="E244" s="4">
        <v>37890</v>
      </c>
    </row>
    <row r="245" spans="1:5" x14ac:dyDescent="0.3">
      <c r="A245" s="3" t="s">
        <v>25</v>
      </c>
      <c r="B245" s="3" t="s">
        <v>35</v>
      </c>
      <c r="C245" s="3" t="s">
        <v>3</v>
      </c>
      <c r="D245" s="4">
        <v>143012</v>
      </c>
      <c r="E245" s="4">
        <v>35245</v>
      </c>
    </row>
    <row r="246" spans="1:5" x14ac:dyDescent="0.3">
      <c r="A246" s="3" t="s">
        <v>25</v>
      </c>
      <c r="B246" s="3" t="s">
        <v>35</v>
      </c>
      <c r="C246" s="3" t="s">
        <v>4</v>
      </c>
      <c r="D246" s="4">
        <v>199392</v>
      </c>
      <c r="E246" s="4">
        <v>45049</v>
      </c>
    </row>
    <row r="247" spans="1:5" x14ac:dyDescent="0.3">
      <c r="A247" s="3" t="s">
        <v>25</v>
      </c>
      <c r="B247" s="3" t="s">
        <v>35</v>
      </c>
      <c r="C247" s="3" t="s">
        <v>5</v>
      </c>
      <c r="D247" s="4">
        <v>194947</v>
      </c>
      <c r="E247" s="4">
        <v>42505</v>
      </c>
    </row>
    <row r="248" spans="1:5" x14ac:dyDescent="0.3">
      <c r="A248" s="3" t="s">
        <v>25</v>
      </c>
      <c r="B248" s="3" t="s">
        <v>35</v>
      </c>
      <c r="C248" s="3" t="s">
        <v>6</v>
      </c>
      <c r="D248" s="4">
        <v>187527</v>
      </c>
      <c r="E248" s="4">
        <v>46141</v>
      </c>
    </row>
    <row r="249" spans="1:5" x14ac:dyDescent="0.3">
      <c r="A249" s="3" t="s">
        <v>25</v>
      </c>
      <c r="B249" s="3" t="s">
        <v>34</v>
      </c>
      <c r="C249" s="3" t="s">
        <v>2</v>
      </c>
      <c r="D249" s="4">
        <v>2660</v>
      </c>
      <c r="E249" s="4">
        <v>330</v>
      </c>
    </row>
    <row r="250" spans="1:5" x14ac:dyDescent="0.3">
      <c r="A250" s="3" t="s">
        <v>25</v>
      </c>
      <c r="B250" s="3" t="s">
        <v>34</v>
      </c>
      <c r="C250" s="3" t="s">
        <v>3</v>
      </c>
      <c r="D250" s="4">
        <v>2334</v>
      </c>
      <c r="E250" s="4">
        <v>245</v>
      </c>
    </row>
    <row r="251" spans="1:5" x14ac:dyDescent="0.3">
      <c r="A251" s="3" t="s">
        <v>25</v>
      </c>
      <c r="B251" s="3" t="s">
        <v>34</v>
      </c>
      <c r="C251" s="3" t="s">
        <v>4</v>
      </c>
      <c r="D251" s="4">
        <v>2184</v>
      </c>
      <c r="E251" s="4">
        <v>174</v>
      </c>
    </row>
    <row r="252" spans="1:5" x14ac:dyDescent="0.3">
      <c r="A252" s="3" t="s">
        <v>25</v>
      </c>
      <c r="B252" s="3" t="s">
        <v>34</v>
      </c>
      <c r="C252" s="3" t="s">
        <v>5</v>
      </c>
      <c r="D252" s="4">
        <v>2028</v>
      </c>
      <c r="E252" s="4">
        <v>167</v>
      </c>
    </row>
    <row r="253" spans="1:5" x14ac:dyDescent="0.3">
      <c r="A253" s="3" t="s">
        <v>25</v>
      </c>
      <c r="B253" s="3" t="s">
        <v>34</v>
      </c>
      <c r="C253" s="3" t="s">
        <v>6</v>
      </c>
      <c r="D253" s="4">
        <v>2075</v>
      </c>
      <c r="E253" s="4">
        <v>193</v>
      </c>
    </row>
    <row r="254" spans="1:5" x14ac:dyDescent="0.3">
      <c r="A254" s="3" t="s">
        <v>26</v>
      </c>
      <c r="B254" s="3" t="s">
        <v>37</v>
      </c>
      <c r="C254" s="3" t="s">
        <v>2</v>
      </c>
      <c r="D254" s="4">
        <v>50903</v>
      </c>
      <c r="E254" s="4">
        <v>18499</v>
      </c>
    </row>
    <row r="255" spans="1:5" x14ac:dyDescent="0.3">
      <c r="A255" s="3" t="s">
        <v>26</v>
      </c>
      <c r="B255" s="3" t="s">
        <v>37</v>
      </c>
      <c r="C255" s="3" t="s">
        <v>3</v>
      </c>
      <c r="D255" s="4">
        <v>65663</v>
      </c>
      <c r="E255" s="4">
        <v>18848</v>
      </c>
    </row>
    <row r="256" spans="1:5" x14ac:dyDescent="0.3">
      <c r="A256" s="3" t="s">
        <v>26</v>
      </c>
      <c r="B256" s="3" t="s">
        <v>37</v>
      </c>
      <c r="C256" s="3" t="s">
        <v>4</v>
      </c>
      <c r="D256" s="4">
        <v>79951</v>
      </c>
      <c r="E256" s="4">
        <v>23156</v>
      </c>
    </row>
    <row r="257" spans="1:5" x14ac:dyDescent="0.3">
      <c r="A257" s="3" t="s">
        <v>26</v>
      </c>
      <c r="B257" s="3" t="s">
        <v>37</v>
      </c>
      <c r="C257" s="3" t="s">
        <v>5</v>
      </c>
      <c r="D257" s="4">
        <v>76546</v>
      </c>
      <c r="E257" s="4">
        <v>19997</v>
      </c>
    </row>
    <row r="258" spans="1:5" x14ac:dyDescent="0.3">
      <c r="A258" s="3" t="s">
        <v>26</v>
      </c>
      <c r="B258" s="3" t="s">
        <v>37</v>
      </c>
      <c r="C258" s="3" t="s">
        <v>6</v>
      </c>
      <c r="D258" s="4">
        <v>70997</v>
      </c>
      <c r="E258" s="4">
        <v>24008</v>
      </c>
    </row>
    <row r="259" spans="1:5" x14ac:dyDescent="0.3">
      <c r="A259" s="3" t="s">
        <v>26</v>
      </c>
      <c r="B259" s="3" t="s">
        <v>38</v>
      </c>
      <c r="C259" s="3" t="s">
        <v>2</v>
      </c>
      <c r="D259" s="4">
        <v>56943</v>
      </c>
      <c r="E259" s="4">
        <v>14816</v>
      </c>
    </row>
    <row r="260" spans="1:5" x14ac:dyDescent="0.3">
      <c r="A260" s="3" t="s">
        <v>26</v>
      </c>
      <c r="B260" s="3" t="s">
        <v>38</v>
      </c>
      <c r="C260" s="3" t="s">
        <v>3</v>
      </c>
      <c r="D260" s="4">
        <v>73426</v>
      </c>
      <c r="E260" s="4">
        <v>14755</v>
      </c>
    </row>
    <row r="261" spans="1:5" x14ac:dyDescent="0.3">
      <c r="A261" s="3" t="s">
        <v>26</v>
      </c>
      <c r="B261" s="3" t="s">
        <v>38</v>
      </c>
      <c r="C261" s="3" t="s">
        <v>4</v>
      </c>
      <c r="D261" s="4">
        <v>81743</v>
      </c>
      <c r="E261" s="4">
        <v>21250</v>
      </c>
    </row>
    <row r="262" spans="1:5" x14ac:dyDescent="0.3">
      <c r="A262" s="3" t="s">
        <v>26</v>
      </c>
      <c r="B262" s="3" t="s">
        <v>38</v>
      </c>
      <c r="C262" s="3" t="s">
        <v>5</v>
      </c>
      <c r="D262" s="4">
        <v>75198</v>
      </c>
      <c r="E262" s="4">
        <v>17778</v>
      </c>
    </row>
    <row r="263" spans="1:5" x14ac:dyDescent="0.3">
      <c r="A263" s="3" t="s">
        <v>26</v>
      </c>
      <c r="B263" s="3" t="s">
        <v>38</v>
      </c>
      <c r="C263" s="3" t="s">
        <v>6</v>
      </c>
      <c r="D263" s="4">
        <v>68234</v>
      </c>
      <c r="E263" s="4">
        <v>20001</v>
      </c>
    </row>
    <row r="264" spans="1:5" x14ac:dyDescent="0.3">
      <c r="A264" s="3" t="s">
        <v>26</v>
      </c>
      <c r="B264" s="3" t="s">
        <v>36</v>
      </c>
      <c r="C264" s="3" t="s">
        <v>2</v>
      </c>
      <c r="D264" s="4">
        <v>49245</v>
      </c>
      <c r="E264" s="4">
        <v>13798</v>
      </c>
    </row>
    <row r="265" spans="1:5" x14ac:dyDescent="0.3">
      <c r="A265" s="3" t="s">
        <v>26</v>
      </c>
      <c r="B265" s="3" t="s">
        <v>36</v>
      </c>
      <c r="C265" s="3" t="s">
        <v>3</v>
      </c>
      <c r="D265" s="4">
        <v>37076</v>
      </c>
      <c r="E265" s="4">
        <v>10260</v>
      </c>
    </row>
    <row r="266" spans="1:5" x14ac:dyDescent="0.3">
      <c r="A266" s="3" t="s">
        <v>26</v>
      </c>
      <c r="B266" s="3" t="s">
        <v>36</v>
      </c>
      <c r="C266" s="3" t="s">
        <v>4</v>
      </c>
      <c r="D266" s="4">
        <v>47444</v>
      </c>
      <c r="E266" s="4">
        <v>11906</v>
      </c>
    </row>
    <row r="267" spans="1:5" x14ac:dyDescent="0.3">
      <c r="A267" s="3" t="s">
        <v>26</v>
      </c>
      <c r="B267" s="3" t="s">
        <v>36</v>
      </c>
      <c r="C267" s="3" t="s">
        <v>5</v>
      </c>
      <c r="D267" s="4">
        <v>53077</v>
      </c>
      <c r="E267" s="4">
        <v>11390</v>
      </c>
    </row>
    <row r="268" spans="1:5" x14ac:dyDescent="0.3">
      <c r="A268" s="3" t="s">
        <v>26</v>
      </c>
      <c r="B268" s="3" t="s">
        <v>36</v>
      </c>
      <c r="C268" s="3" t="s">
        <v>6</v>
      </c>
      <c r="D268" s="4">
        <v>49613</v>
      </c>
      <c r="E268" s="4">
        <v>14679</v>
      </c>
    </row>
    <row r="269" spans="1:5" x14ac:dyDescent="0.3">
      <c r="A269" s="3" t="s">
        <v>26</v>
      </c>
      <c r="B269" s="3" t="s">
        <v>35</v>
      </c>
      <c r="C269" s="3" t="s">
        <v>2</v>
      </c>
      <c r="D269" s="4">
        <v>98629</v>
      </c>
      <c r="E269" s="4">
        <v>40496</v>
      </c>
    </row>
    <row r="270" spans="1:5" x14ac:dyDescent="0.3">
      <c r="A270" s="3" t="s">
        <v>26</v>
      </c>
      <c r="B270" s="3" t="s">
        <v>35</v>
      </c>
      <c r="C270" s="3" t="s">
        <v>3</v>
      </c>
      <c r="D270" s="4">
        <v>123117</v>
      </c>
      <c r="E270" s="4">
        <v>34257</v>
      </c>
    </row>
    <row r="271" spans="1:5" x14ac:dyDescent="0.3">
      <c r="A271" s="3" t="s">
        <v>26</v>
      </c>
      <c r="B271" s="3" t="s">
        <v>35</v>
      </c>
      <c r="C271" s="3" t="s">
        <v>4</v>
      </c>
      <c r="D271" s="4">
        <v>182504</v>
      </c>
      <c r="E271" s="4">
        <v>48033</v>
      </c>
    </row>
    <row r="272" spans="1:5" x14ac:dyDescent="0.3">
      <c r="A272" s="3" t="s">
        <v>26</v>
      </c>
      <c r="B272" s="3" t="s">
        <v>35</v>
      </c>
      <c r="C272" s="3" t="s">
        <v>5</v>
      </c>
      <c r="D272" s="4">
        <v>178743</v>
      </c>
      <c r="E272" s="4">
        <v>41252</v>
      </c>
    </row>
    <row r="273" spans="1:5" x14ac:dyDescent="0.3">
      <c r="A273" s="3" t="s">
        <v>26</v>
      </c>
      <c r="B273" s="3" t="s">
        <v>35</v>
      </c>
      <c r="C273" s="3" t="s">
        <v>6</v>
      </c>
      <c r="D273" s="4">
        <v>166168</v>
      </c>
      <c r="E273" s="4">
        <v>42723</v>
      </c>
    </row>
    <row r="274" spans="1:5" x14ac:dyDescent="0.3">
      <c r="A274" s="3" t="s">
        <v>26</v>
      </c>
      <c r="B274" s="3" t="s">
        <v>34</v>
      </c>
      <c r="C274" s="3" t="s">
        <v>2</v>
      </c>
      <c r="D274" s="4">
        <v>2292</v>
      </c>
      <c r="E274" s="4">
        <v>231</v>
      </c>
    </row>
    <row r="275" spans="1:5" x14ac:dyDescent="0.3">
      <c r="A275" s="3" t="s">
        <v>26</v>
      </c>
      <c r="B275" s="3" t="s">
        <v>34</v>
      </c>
      <c r="C275" s="3" t="s">
        <v>3</v>
      </c>
      <c r="D275" s="4">
        <v>2032</v>
      </c>
      <c r="E275" s="4">
        <v>154</v>
      </c>
    </row>
    <row r="276" spans="1:5" x14ac:dyDescent="0.3">
      <c r="A276" s="3" t="s">
        <v>26</v>
      </c>
      <c r="B276" s="3" t="s">
        <v>34</v>
      </c>
      <c r="C276" s="3" t="s">
        <v>4</v>
      </c>
      <c r="D276" s="4">
        <v>1973</v>
      </c>
      <c r="E276" s="4">
        <v>113</v>
      </c>
    </row>
    <row r="277" spans="1:5" x14ac:dyDescent="0.3">
      <c r="A277" s="3" t="s">
        <v>26</v>
      </c>
      <c r="B277" s="3" t="s">
        <v>34</v>
      </c>
      <c r="C277" s="3" t="s">
        <v>5</v>
      </c>
      <c r="D277" s="4">
        <v>1868</v>
      </c>
      <c r="E277" s="4">
        <v>124</v>
      </c>
    </row>
    <row r="278" spans="1:5" x14ac:dyDescent="0.3">
      <c r="A278" s="3" t="s">
        <v>26</v>
      </c>
      <c r="B278" s="3" t="s">
        <v>34</v>
      </c>
      <c r="C278" s="3" t="s">
        <v>6</v>
      </c>
      <c r="D278" s="4">
        <v>1908</v>
      </c>
      <c r="E278" s="4">
        <v>116</v>
      </c>
    </row>
    <row r="279" spans="1:5" x14ac:dyDescent="0.3">
      <c r="A279" s="3" t="s">
        <v>27</v>
      </c>
      <c r="B279" s="3" t="s">
        <v>37</v>
      </c>
      <c r="C279" s="3" t="s">
        <v>2</v>
      </c>
      <c r="D279" s="4">
        <v>144629</v>
      </c>
      <c r="E279" s="4">
        <v>85537</v>
      </c>
    </row>
    <row r="280" spans="1:5" x14ac:dyDescent="0.3">
      <c r="A280" s="3" t="s">
        <v>27</v>
      </c>
      <c r="B280" s="3" t="s">
        <v>37</v>
      </c>
      <c r="C280" s="3" t="s">
        <v>3</v>
      </c>
      <c r="D280" s="4">
        <v>169196</v>
      </c>
      <c r="E280" s="4">
        <v>89978</v>
      </c>
    </row>
    <row r="281" spans="1:5" x14ac:dyDescent="0.3">
      <c r="A281" s="3" t="s">
        <v>27</v>
      </c>
      <c r="B281" s="3" t="s">
        <v>37</v>
      </c>
      <c r="C281" s="3" t="s">
        <v>4</v>
      </c>
      <c r="D281" s="4">
        <v>212213</v>
      </c>
      <c r="E281" s="4">
        <v>102230</v>
      </c>
    </row>
    <row r="282" spans="1:5" x14ac:dyDescent="0.3">
      <c r="A282" s="3" t="s">
        <v>27</v>
      </c>
      <c r="B282" s="3" t="s">
        <v>37</v>
      </c>
      <c r="C282" s="3" t="s">
        <v>5</v>
      </c>
      <c r="D282" s="4">
        <v>213670</v>
      </c>
      <c r="E282" s="4">
        <v>94415</v>
      </c>
    </row>
    <row r="283" spans="1:5" x14ac:dyDescent="0.3">
      <c r="A283" s="3" t="s">
        <v>27</v>
      </c>
      <c r="B283" s="3" t="s">
        <v>37</v>
      </c>
      <c r="C283" s="3" t="s">
        <v>6</v>
      </c>
      <c r="D283" s="4">
        <v>193565</v>
      </c>
      <c r="E283" s="4">
        <v>104027</v>
      </c>
    </row>
    <row r="284" spans="1:5" x14ac:dyDescent="0.3">
      <c r="A284" s="3" t="s">
        <v>27</v>
      </c>
      <c r="B284" s="3" t="s">
        <v>38</v>
      </c>
      <c r="C284" s="3" t="s">
        <v>2</v>
      </c>
      <c r="D284" s="4">
        <v>146195</v>
      </c>
      <c r="E284" s="4">
        <v>63376</v>
      </c>
    </row>
    <row r="285" spans="1:5" x14ac:dyDescent="0.3">
      <c r="A285" s="3" t="s">
        <v>27</v>
      </c>
      <c r="B285" s="3" t="s">
        <v>38</v>
      </c>
      <c r="C285" s="3" t="s">
        <v>3</v>
      </c>
      <c r="D285" s="4">
        <v>191721</v>
      </c>
      <c r="E285" s="4">
        <v>66877</v>
      </c>
    </row>
    <row r="286" spans="1:5" x14ac:dyDescent="0.3">
      <c r="A286" s="3" t="s">
        <v>27</v>
      </c>
      <c r="B286" s="3" t="s">
        <v>38</v>
      </c>
      <c r="C286" s="3" t="s">
        <v>4</v>
      </c>
      <c r="D286" s="4">
        <v>213419</v>
      </c>
      <c r="E286" s="4">
        <v>82878</v>
      </c>
    </row>
    <row r="287" spans="1:5" x14ac:dyDescent="0.3">
      <c r="A287" s="3" t="s">
        <v>27</v>
      </c>
      <c r="B287" s="3" t="s">
        <v>38</v>
      </c>
      <c r="C287" s="3" t="s">
        <v>5</v>
      </c>
      <c r="D287" s="4">
        <v>194255</v>
      </c>
      <c r="E287" s="4">
        <v>76540</v>
      </c>
    </row>
    <row r="288" spans="1:5" x14ac:dyDescent="0.3">
      <c r="A288" s="3" t="s">
        <v>27</v>
      </c>
      <c r="B288" s="3" t="s">
        <v>38</v>
      </c>
      <c r="C288" s="3" t="s">
        <v>6</v>
      </c>
      <c r="D288" s="4">
        <v>168615</v>
      </c>
      <c r="E288" s="4">
        <v>84488</v>
      </c>
    </row>
    <row r="289" spans="1:5" x14ac:dyDescent="0.3">
      <c r="A289" s="3" t="s">
        <v>27</v>
      </c>
      <c r="B289" s="3" t="s">
        <v>36</v>
      </c>
      <c r="C289" s="3" t="s">
        <v>2</v>
      </c>
      <c r="D289" s="4">
        <v>112563</v>
      </c>
      <c r="E289" s="4">
        <v>31207</v>
      </c>
    </row>
    <row r="290" spans="1:5" x14ac:dyDescent="0.3">
      <c r="A290" s="3" t="s">
        <v>27</v>
      </c>
      <c r="B290" s="3" t="s">
        <v>36</v>
      </c>
      <c r="C290" s="3" t="s">
        <v>3</v>
      </c>
      <c r="D290" s="4">
        <v>85822</v>
      </c>
      <c r="E290" s="4">
        <v>22909</v>
      </c>
    </row>
    <row r="291" spans="1:5" x14ac:dyDescent="0.3">
      <c r="A291" s="3" t="s">
        <v>27</v>
      </c>
      <c r="B291" s="3" t="s">
        <v>36</v>
      </c>
      <c r="C291" s="3" t="s">
        <v>4</v>
      </c>
      <c r="D291" s="4">
        <v>105499</v>
      </c>
      <c r="E291" s="4">
        <v>25514</v>
      </c>
    </row>
    <row r="292" spans="1:5" x14ac:dyDescent="0.3">
      <c r="A292" s="3" t="s">
        <v>27</v>
      </c>
      <c r="B292" s="3" t="s">
        <v>36</v>
      </c>
      <c r="C292" s="3" t="s">
        <v>5</v>
      </c>
      <c r="D292" s="4">
        <v>106359</v>
      </c>
      <c r="E292" s="4">
        <v>27773</v>
      </c>
    </row>
    <row r="293" spans="1:5" x14ac:dyDescent="0.3">
      <c r="A293" s="3" t="s">
        <v>27</v>
      </c>
      <c r="B293" s="3" t="s">
        <v>36</v>
      </c>
      <c r="C293" s="3" t="s">
        <v>6</v>
      </c>
      <c r="D293" s="4">
        <v>97035</v>
      </c>
      <c r="E293" s="4">
        <v>32221</v>
      </c>
    </row>
    <row r="294" spans="1:5" x14ac:dyDescent="0.3">
      <c r="A294" s="3" t="s">
        <v>27</v>
      </c>
      <c r="B294" s="3" t="s">
        <v>35</v>
      </c>
      <c r="C294" s="3" t="s">
        <v>2</v>
      </c>
      <c r="D294" s="4">
        <v>265568</v>
      </c>
      <c r="E294" s="4">
        <v>101564</v>
      </c>
    </row>
    <row r="295" spans="1:5" x14ac:dyDescent="0.3">
      <c r="A295" s="3" t="s">
        <v>27</v>
      </c>
      <c r="B295" s="3" t="s">
        <v>35</v>
      </c>
      <c r="C295" s="3" t="s">
        <v>3</v>
      </c>
      <c r="D295" s="4">
        <v>307341</v>
      </c>
      <c r="E295" s="4">
        <v>94049</v>
      </c>
    </row>
    <row r="296" spans="1:5" x14ac:dyDescent="0.3">
      <c r="A296" s="3" t="s">
        <v>27</v>
      </c>
      <c r="B296" s="3" t="s">
        <v>35</v>
      </c>
      <c r="C296" s="3" t="s">
        <v>4</v>
      </c>
      <c r="D296" s="4">
        <v>397052</v>
      </c>
      <c r="E296" s="4">
        <v>109825</v>
      </c>
    </row>
    <row r="297" spans="1:5" x14ac:dyDescent="0.3">
      <c r="A297" s="3" t="s">
        <v>27</v>
      </c>
      <c r="B297" s="3" t="s">
        <v>35</v>
      </c>
      <c r="C297" s="3" t="s">
        <v>5</v>
      </c>
      <c r="D297" s="4">
        <v>412413</v>
      </c>
      <c r="E297" s="4">
        <v>95786</v>
      </c>
    </row>
    <row r="298" spans="1:5" x14ac:dyDescent="0.3">
      <c r="A298" s="3" t="s">
        <v>27</v>
      </c>
      <c r="B298" s="3" t="s">
        <v>35</v>
      </c>
      <c r="C298" s="3" t="s">
        <v>6</v>
      </c>
      <c r="D298" s="4">
        <v>332739</v>
      </c>
      <c r="E298" s="4">
        <v>100253</v>
      </c>
    </row>
    <row r="299" spans="1:5" x14ac:dyDescent="0.3">
      <c r="A299" s="3" t="s">
        <v>27</v>
      </c>
      <c r="B299" s="3" t="s">
        <v>34</v>
      </c>
      <c r="C299" s="3" t="s">
        <v>2</v>
      </c>
      <c r="D299" s="4">
        <v>2384</v>
      </c>
      <c r="E299" s="4">
        <v>633</v>
      </c>
    </row>
    <row r="300" spans="1:5" x14ac:dyDescent="0.3">
      <c r="A300" s="3" t="s">
        <v>27</v>
      </c>
      <c r="B300" s="3" t="s">
        <v>34</v>
      </c>
      <c r="C300" s="3" t="s">
        <v>3</v>
      </c>
      <c r="D300" s="4">
        <v>2065</v>
      </c>
      <c r="E300" s="4">
        <v>480</v>
      </c>
    </row>
    <row r="301" spans="1:5" x14ac:dyDescent="0.3">
      <c r="A301" s="3" t="s">
        <v>27</v>
      </c>
      <c r="B301" s="3" t="s">
        <v>34</v>
      </c>
      <c r="C301" s="3" t="s">
        <v>4</v>
      </c>
      <c r="D301" s="4">
        <v>2105</v>
      </c>
      <c r="E301" s="4">
        <v>297</v>
      </c>
    </row>
    <row r="302" spans="1:5" x14ac:dyDescent="0.3">
      <c r="A302" s="3" t="s">
        <v>27</v>
      </c>
      <c r="B302" s="3" t="s">
        <v>34</v>
      </c>
      <c r="C302" s="3" t="s">
        <v>5</v>
      </c>
      <c r="D302" s="4">
        <v>1962</v>
      </c>
      <c r="E302" s="4">
        <v>296</v>
      </c>
    </row>
    <row r="303" spans="1:5" x14ac:dyDescent="0.3">
      <c r="A303" s="3" t="s">
        <v>27</v>
      </c>
      <c r="B303" s="3" t="s">
        <v>34</v>
      </c>
      <c r="C303" s="3" t="s">
        <v>6</v>
      </c>
      <c r="D303" s="4">
        <v>2059</v>
      </c>
      <c r="E303" s="4">
        <v>419</v>
      </c>
    </row>
    <row r="304" spans="1:5" x14ac:dyDescent="0.3">
      <c r="A304" s="3" t="s">
        <v>28</v>
      </c>
      <c r="B304" s="3" t="s">
        <v>37</v>
      </c>
      <c r="C304" s="3" t="s">
        <v>2</v>
      </c>
      <c r="D304" s="4">
        <v>59197</v>
      </c>
      <c r="E304" s="4">
        <v>21570</v>
      </c>
    </row>
    <row r="305" spans="1:5" x14ac:dyDescent="0.3">
      <c r="A305" s="3" t="s">
        <v>28</v>
      </c>
      <c r="B305" s="3" t="s">
        <v>37</v>
      </c>
      <c r="C305" s="3" t="s">
        <v>3</v>
      </c>
      <c r="D305" s="4">
        <v>68332</v>
      </c>
      <c r="E305" s="4">
        <v>22099</v>
      </c>
    </row>
    <row r="306" spans="1:5" x14ac:dyDescent="0.3">
      <c r="A306" s="3" t="s">
        <v>28</v>
      </c>
      <c r="B306" s="3" t="s">
        <v>37</v>
      </c>
      <c r="C306" s="3" t="s">
        <v>4</v>
      </c>
      <c r="D306" s="4">
        <v>82075</v>
      </c>
      <c r="E306" s="4">
        <v>25365</v>
      </c>
    </row>
    <row r="307" spans="1:5" x14ac:dyDescent="0.3">
      <c r="A307" s="3" t="s">
        <v>28</v>
      </c>
      <c r="B307" s="3" t="s">
        <v>37</v>
      </c>
      <c r="C307" s="3" t="s">
        <v>5</v>
      </c>
      <c r="D307" s="4">
        <v>79076</v>
      </c>
      <c r="E307" s="4">
        <v>22765</v>
      </c>
    </row>
    <row r="308" spans="1:5" x14ac:dyDescent="0.3">
      <c r="A308" s="3" t="s">
        <v>28</v>
      </c>
      <c r="B308" s="3" t="s">
        <v>37</v>
      </c>
      <c r="C308" s="3" t="s">
        <v>6</v>
      </c>
      <c r="D308" s="4">
        <v>78526</v>
      </c>
      <c r="E308" s="4">
        <v>25252</v>
      </c>
    </row>
    <row r="309" spans="1:5" x14ac:dyDescent="0.3">
      <c r="A309" s="3" t="s">
        <v>28</v>
      </c>
      <c r="B309" s="3" t="s">
        <v>38</v>
      </c>
      <c r="C309" s="3" t="s">
        <v>2</v>
      </c>
      <c r="D309" s="4">
        <v>77315</v>
      </c>
      <c r="E309" s="4">
        <v>17409</v>
      </c>
    </row>
    <row r="310" spans="1:5" x14ac:dyDescent="0.3">
      <c r="A310" s="3" t="s">
        <v>28</v>
      </c>
      <c r="B310" s="3" t="s">
        <v>38</v>
      </c>
      <c r="C310" s="3" t="s">
        <v>3</v>
      </c>
      <c r="D310" s="4">
        <v>97830</v>
      </c>
      <c r="E310" s="4">
        <v>18522</v>
      </c>
    </row>
    <row r="311" spans="1:5" x14ac:dyDescent="0.3">
      <c r="A311" s="3" t="s">
        <v>28</v>
      </c>
      <c r="B311" s="3" t="s">
        <v>38</v>
      </c>
      <c r="C311" s="3" t="s">
        <v>4</v>
      </c>
      <c r="D311" s="4">
        <v>107276</v>
      </c>
      <c r="E311" s="4">
        <v>22918</v>
      </c>
    </row>
    <row r="312" spans="1:5" x14ac:dyDescent="0.3">
      <c r="A312" s="3" t="s">
        <v>28</v>
      </c>
      <c r="B312" s="3" t="s">
        <v>38</v>
      </c>
      <c r="C312" s="3" t="s">
        <v>5</v>
      </c>
      <c r="D312" s="4">
        <v>103507</v>
      </c>
      <c r="E312" s="4">
        <v>22200</v>
      </c>
    </row>
    <row r="313" spans="1:5" x14ac:dyDescent="0.3">
      <c r="A313" s="3" t="s">
        <v>28</v>
      </c>
      <c r="B313" s="3" t="s">
        <v>38</v>
      </c>
      <c r="C313" s="3" t="s">
        <v>6</v>
      </c>
      <c r="D313" s="4">
        <v>94220</v>
      </c>
      <c r="E313" s="4">
        <v>25959</v>
      </c>
    </row>
    <row r="314" spans="1:5" x14ac:dyDescent="0.3">
      <c r="A314" s="3" t="s">
        <v>28</v>
      </c>
      <c r="B314" s="3" t="s">
        <v>36</v>
      </c>
      <c r="C314" s="3" t="s">
        <v>2</v>
      </c>
      <c r="D314" s="4">
        <v>50714</v>
      </c>
      <c r="E314" s="4">
        <v>15153</v>
      </c>
    </row>
    <row r="315" spans="1:5" x14ac:dyDescent="0.3">
      <c r="A315" s="3" t="s">
        <v>28</v>
      </c>
      <c r="B315" s="3" t="s">
        <v>36</v>
      </c>
      <c r="C315" s="3" t="s">
        <v>3</v>
      </c>
      <c r="D315" s="4">
        <v>39546</v>
      </c>
      <c r="E315" s="4">
        <v>9907</v>
      </c>
    </row>
    <row r="316" spans="1:5" x14ac:dyDescent="0.3">
      <c r="A316" s="3" t="s">
        <v>28</v>
      </c>
      <c r="B316" s="3" t="s">
        <v>36</v>
      </c>
      <c r="C316" s="3" t="s">
        <v>4</v>
      </c>
      <c r="D316" s="4">
        <v>53686</v>
      </c>
      <c r="E316" s="4">
        <v>10994</v>
      </c>
    </row>
    <row r="317" spans="1:5" x14ac:dyDescent="0.3">
      <c r="A317" s="3" t="s">
        <v>28</v>
      </c>
      <c r="B317" s="3" t="s">
        <v>36</v>
      </c>
      <c r="C317" s="3" t="s">
        <v>5</v>
      </c>
      <c r="D317" s="4">
        <v>57265</v>
      </c>
      <c r="E317" s="4">
        <v>11551</v>
      </c>
    </row>
    <row r="318" spans="1:5" x14ac:dyDescent="0.3">
      <c r="A318" s="3" t="s">
        <v>28</v>
      </c>
      <c r="B318" s="3" t="s">
        <v>36</v>
      </c>
      <c r="C318" s="3" t="s">
        <v>6</v>
      </c>
      <c r="D318" s="4">
        <v>53923</v>
      </c>
      <c r="E318" s="4">
        <v>14585</v>
      </c>
    </row>
    <row r="319" spans="1:5" x14ac:dyDescent="0.3">
      <c r="A319" s="3" t="s">
        <v>28</v>
      </c>
      <c r="B319" s="3" t="s">
        <v>35</v>
      </c>
      <c r="C319" s="3" t="s">
        <v>2</v>
      </c>
      <c r="D319" s="4">
        <v>133350</v>
      </c>
      <c r="E319" s="4">
        <v>45539</v>
      </c>
    </row>
    <row r="320" spans="1:5" x14ac:dyDescent="0.3">
      <c r="A320" s="3" t="s">
        <v>28</v>
      </c>
      <c r="B320" s="3" t="s">
        <v>35</v>
      </c>
      <c r="C320" s="3" t="s">
        <v>3</v>
      </c>
      <c r="D320" s="4">
        <v>157560</v>
      </c>
      <c r="E320" s="4">
        <v>40904</v>
      </c>
    </row>
    <row r="321" spans="1:5" x14ac:dyDescent="0.3">
      <c r="A321" s="3" t="s">
        <v>28</v>
      </c>
      <c r="B321" s="3" t="s">
        <v>35</v>
      </c>
      <c r="C321" s="3" t="s">
        <v>4</v>
      </c>
      <c r="D321" s="4">
        <v>213843</v>
      </c>
      <c r="E321" s="4">
        <v>50999</v>
      </c>
    </row>
    <row r="322" spans="1:5" x14ac:dyDescent="0.3">
      <c r="A322" s="3" t="s">
        <v>28</v>
      </c>
      <c r="B322" s="3" t="s">
        <v>35</v>
      </c>
      <c r="C322" s="3" t="s">
        <v>5</v>
      </c>
      <c r="D322" s="4">
        <v>224946</v>
      </c>
      <c r="E322" s="4">
        <v>44790</v>
      </c>
    </row>
    <row r="323" spans="1:5" x14ac:dyDescent="0.3">
      <c r="A323" s="3" t="s">
        <v>28</v>
      </c>
      <c r="B323" s="3" t="s">
        <v>35</v>
      </c>
      <c r="C323" s="3" t="s">
        <v>6</v>
      </c>
      <c r="D323" s="4">
        <v>202873</v>
      </c>
      <c r="E323" s="4">
        <v>47694</v>
      </c>
    </row>
    <row r="324" spans="1:5" x14ac:dyDescent="0.3">
      <c r="A324" s="3" t="s">
        <v>28</v>
      </c>
      <c r="B324" s="3" t="s">
        <v>34</v>
      </c>
      <c r="C324" s="3" t="s">
        <v>2</v>
      </c>
      <c r="D324" s="4">
        <v>4167</v>
      </c>
      <c r="E324" s="4">
        <v>327</v>
      </c>
    </row>
    <row r="325" spans="1:5" x14ac:dyDescent="0.3">
      <c r="A325" s="3" t="s">
        <v>28</v>
      </c>
      <c r="B325" s="3" t="s">
        <v>34</v>
      </c>
      <c r="C325" s="3" t="s">
        <v>3</v>
      </c>
      <c r="D325" s="4">
        <v>3757</v>
      </c>
      <c r="E325" s="4">
        <v>181</v>
      </c>
    </row>
    <row r="326" spans="1:5" x14ac:dyDescent="0.3">
      <c r="A326" s="3" t="s">
        <v>28</v>
      </c>
      <c r="B326" s="3" t="s">
        <v>34</v>
      </c>
      <c r="C326" s="3" t="s">
        <v>4</v>
      </c>
      <c r="D326" s="4">
        <v>3574</v>
      </c>
      <c r="E326" s="4">
        <v>159</v>
      </c>
    </row>
    <row r="327" spans="1:5" x14ac:dyDescent="0.3">
      <c r="A327" s="3" t="s">
        <v>28</v>
      </c>
      <c r="B327" s="3" t="s">
        <v>34</v>
      </c>
      <c r="C327" s="3" t="s">
        <v>5</v>
      </c>
      <c r="D327" s="4">
        <v>3424</v>
      </c>
      <c r="E327" s="4">
        <v>149</v>
      </c>
    </row>
    <row r="328" spans="1:5" x14ac:dyDescent="0.3">
      <c r="A328" s="3" t="s">
        <v>28</v>
      </c>
      <c r="B328" s="3" t="s">
        <v>34</v>
      </c>
      <c r="C328" s="3" t="s">
        <v>6</v>
      </c>
      <c r="D328" s="4">
        <v>3417</v>
      </c>
      <c r="E328" s="4">
        <v>243</v>
      </c>
    </row>
    <row r="329" spans="1:5" x14ac:dyDescent="0.3">
      <c r="A329" s="3" t="s">
        <v>29</v>
      </c>
      <c r="B329" s="3" t="s">
        <v>37</v>
      </c>
      <c r="C329" s="3" t="s">
        <v>2</v>
      </c>
      <c r="D329" s="4">
        <v>40149</v>
      </c>
      <c r="E329" s="4">
        <v>6407</v>
      </c>
    </row>
    <row r="330" spans="1:5" x14ac:dyDescent="0.3">
      <c r="A330" s="3" t="s">
        <v>29</v>
      </c>
      <c r="B330" s="3" t="s">
        <v>37</v>
      </c>
      <c r="C330" s="3" t="s">
        <v>3</v>
      </c>
      <c r="D330" s="4">
        <v>45301</v>
      </c>
      <c r="E330" s="4">
        <v>6717</v>
      </c>
    </row>
    <row r="331" spans="1:5" x14ac:dyDescent="0.3">
      <c r="A331" s="3" t="s">
        <v>29</v>
      </c>
      <c r="B331" s="3" t="s">
        <v>37</v>
      </c>
      <c r="C331" s="3" t="s">
        <v>4</v>
      </c>
      <c r="D331" s="4">
        <v>45020</v>
      </c>
      <c r="E331" s="4">
        <v>8226</v>
      </c>
    </row>
    <row r="332" spans="1:5" x14ac:dyDescent="0.3">
      <c r="A332" s="3" t="s">
        <v>29</v>
      </c>
      <c r="B332" s="3" t="s">
        <v>37</v>
      </c>
      <c r="C332" s="3" t="s">
        <v>5</v>
      </c>
      <c r="D332" s="4">
        <v>46363</v>
      </c>
      <c r="E332" s="4">
        <v>7819</v>
      </c>
    </row>
    <row r="333" spans="1:5" x14ac:dyDescent="0.3">
      <c r="A333" s="3" t="s">
        <v>29</v>
      </c>
      <c r="B333" s="3" t="s">
        <v>37</v>
      </c>
      <c r="C333" s="3" t="s">
        <v>6</v>
      </c>
      <c r="D333" s="4">
        <v>43938</v>
      </c>
      <c r="E333" s="4">
        <v>7821</v>
      </c>
    </row>
    <row r="334" spans="1:5" x14ac:dyDescent="0.3">
      <c r="A334" s="3" t="s">
        <v>29</v>
      </c>
      <c r="B334" s="3" t="s">
        <v>38</v>
      </c>
      <c r="C334" s="3" t="s">
        <v>2</v>
      </c>
      <c r="D334" s="4">
        <v>45941</v>
      </c>
      <c r="E334" s="4">
        <v>5960</v>
      </c>
    </row>
    <row r="335" spans="1:5" x14ac:dyDescent="0.3">
      <c r="A335" s="3" t="s">
        <v>29</v>
      </c>
      <c r="B335" s="3" t="s">
        <v>38</v>
      </c>
      <c r="C335" s="3" t="s">
        <v>3</v>
      </c>
      <c r="D335" s="4">
        <v>52581</v>
      </c>
      <c r="E335" s="4">
        <v>5341</v>
      </c>
    </row>
    <row r="336" spans="1:5" x14ac:dyDescent="0.3">
      <c r="A336" s="3" t="s">
        <v>29</v>
      </c>
      <c r="B336" s="3" t="s">
        <v>38</v>
      </c>
      <c r="C336" s="3" t="s">
        <v>4</v>
      </c>
      <c r="D336" s="4">
        <v>49222</v>
      </c>
      <c r="E336" s="4">
        <v>6040</v>
      </c>
    </row>
    <row r="337" spans="1:5" x14ac:dyDescent="0.3">
      <c r="A337" s="3" t="s">
        <v>29</v>
      </c>
      <c r="B337" s="3" t="s">
        <v>38</v>
      </c>
      <c r="C337" s="3" t="s">
        <v>5</v>
      </c>
      <c r="D337" s="4">
        <v>53187</v>
      </c>
      <c r="E337" s="4">
        <v>6261</v>
      </c>
    </row>
    <row r="338" spans="1:5" x14ac:dyDescent="0.3">
      <c r="A338" s="3" t="s">
        <v>29</v>
      </c>
      <c r="B338" s="3" t="s">
        <v>38</v>
      </c>
      <c r="C338" s="3" t="s">
        <v>6</v>
      </c>
      <c r="D338" s="4">
        <v>50099</v>
      </c>
      <c r="E338" s="4">
        <v>5596</v>
      </c>
    </row>
    <row r="339" spans="1:5" x14ac:dyDescent="0.3">
      <c r="A339" s="3" t="s">
        <v>29</v>
      </c>
      <c r="B339" s="3" t="s">
        <v>36</v>
      </c>
      <c r="C339" s="3" t="s">
        <v>2</v>
      </c>
      <c r="D339" s="4">
        <v>27071</v>
      </c>
      <c r="E339" s="4">
        <v>5116</v>
      </c>
    </row>
    <row r="340" spans="1:5" x14ac:dyDescent="0.3">
      <c r="A340" s="3" t="s">
        <v>29</v>
      </c>
      <c r="B340" s="3" t="s">
        <v>36</v>
      </c>
      <c r="C340" s="3" t="s">
        <v>3</v>
      </c>
      <c r="D340" s="4">
        <v>27101</v>
      </c>
      <c r="E340" s="4">
        <v>4538</v>
      </c>
    </row>
    <row r="341" spans="1:5" x14ac:dyDescent="0.3">
      <c r="A341" s="3" t="s">
        <v>29</v>
      </c>
      <c r="B341" s="3" t="s">
        <v>36</v>
      </c>
      <c r="C341" s="3" t="s">
        <v>4</v>
      </c>
      <c r="D341" s="4">
        <v>27878</v>
      </c>
      <c r="E341" s="4">
        <v>4793</v>
      </c>
    </row>
    <row r="342" spans="1:5" x14ac:dyDescent="0.3">
      <c r="A342" s="3" t="s">
        <v>29</v>
      </c>
      <c r="B342" s="3" t="s">
        <v>36</v>
      </c>
      <c r="C342" s="3" t="s">
        <v>5</v>
      </c>
      <c r="D342" s="4">
        <v>26660</v>
      </c>
      <c r="E342" s="4">
        <v>4847</v>
      </c>
    </row>
    <row r="343" spans="1:5" x14ac:dyDescent="0.3">
      <c r="A343" s="3" t="s">
        <v>29</v>
      </c>
      <c r="B343" s="3" t="s">
        <v>36</v>
      </c>
      <c r="C343" s="3" t="s">
        <v>6</v>
      </c>
      <c r="D343" s="4">
        <v>25537</v>
      </c>
      <c r="E343" s="4">
        <v>5024</v>
      </c>
    </row>
    <row r="344" spans="1:5" x14ac:dyDescent="0.3">
      <c r="A344" s="3" t="s">
        <v>29</v>
      </c>
      <c r="B344" s="3" t="s">
        <v>35</v>
      </c>
      <c r="C344" s="3" t="s">
        <v>2</v>
      </c>
      <c r="D344" s="4">
        <v>58710</v>
      </c>
      <c r="E344" s="4">
        <v>9198</v>
      </c>
    </row>
    <row r="345" spans="1:5" x14ac:dyDescent="0.3">
      <c r="A345" s="3" t="s">
        <v>29</v>
      </c>
      <c r="B345" s="3" t="s">
        <v>35</v>
      </c>
      <c r="C345" s="3" t="s">
        <v>3</v>
      </c>
      <c r="D345" s="4">
        <v>62804</v>
      </c>
      <c r="E345" s="4">
        <v>7971</v>
      </c>
    </row>
    <row r="346" spans="1:5" x14ac:dyDescent="0.3">
      <c r="A346" s="3" t="s">
        <v>29</v>
      </c>
      <c r="B346" s="3" t="s">
        <v>35</v>
      </c>
      <c r="C346" s="3" t="s">
        <v>4</v>
      </c>
      <c r="D346" s="4">
        <v>61974</v>
      </c>
      <c r="E346" s="4">
        <v>8131</v>
      </c>
    </row>
    <row r="347" spans="1:5" x14ac:dyDescent="0.3">
      <c r="A347" s="3" t="s">
        <v>29</v>
      </c>
      <c r="B347" s="3" t="s">
        <v>35</v>
      </c>
      <c r="C347" s="3" t="s">
        <v>5</v>
      </c>
      <c r="D347" s="4">
        <v>60431</v>
      </c>
      <c r="E347" s="4">
        <v>7806</v>
      </c>
    </row>
    <row r="348" spans="1:5" x14ac:dyDescent="0.3">
      <c r="A348" s="3" t="s">
        <v>29</v>
      </c>
      <c r="B348" s="3" t="s">
        <v>35</v>
      </c>
      <c r="C348" s="3" t="s">
        <v>6</v>
      </c>
      <c r="D348" s="4">
        <v>56130</v>
      </c>
      <c r="E348" s="4">
        <v>7724</v>
      </c>
    </row>
    <row r="349" spans="1:5" x14ac:dyDescent="0.3">
      <c r="A349" s="3" t="s">
        <v>29</v>
      </c>
      <c r="B349" s="3" t="s">
        <v>34</v>
      </c>
      <c r="C349" s="3" t="s">
        <v>2</v>
      </c>
      <c r="D349" s="4">
        <v>2654</v>
      </c>
      <c r="E349" s="4">
        <v>154</v>
      </c>
    </row>
    <row r="350" spans="1:5" x14ac:dyDescent="0.3">
      <c r="A350" s="3" t="s">
        <v>29</v>
      </c>
      <c r="B350" s="3" t="s">
        <v>34</v>
      </c>
      <c r="C350" s="3" t="s">
        <v>3</v>
      </c>
      <c r="D350" s="4">
        <v>2525</v>
      </c>
      <c r="E350" s="4">
        <v>112</v>
      </c>
    </row>
    <row r="351" spans="1:5" x14ac:dyDescent="0.3">
      <c r="A351" s="3" t="s">
        <v>29</v>
      </c>
      <c r="B351" s="3" t="s">
        <v>34</v>
      </c>
      <c r="C351" s="3" t="s">
        <v>4</v>
      </c>
      <c r="D351" s="4">
        <v>2436</v>
      </c>
      <c r="E351" s="4">
        <v>88</v>
      </c>
    </row>
    <row r="352" spans="1:5" x14ac:dyDescent="0.3">
      <c r="A352" s="3" t="s">
        <v>29</v>
      </c>
      <c r="B352" s="3" t="s">
        <v>34</v>
      </c>
      <c r="C352" s="3" t="s">
        <v>5</v>
      </c>
      <c r="D352" s="4">
        <v>2355</v>
      </c>
      <c r="E352" s="4">
        <v>75</v>
      </c>
    </row>
    <row r="353" spans="1:5" x14ac:dyDescent="0.3">
      <c r="A353" s="3" t="s">
        <v>29</v>
      </c>
      <c r="B353" s="3" t="s">
        <v>34</v>
      </c>
      <c r="C353" s="3" t="s">
        <v>6</v>
      </c>
      <c r="D353" s="4">
        <v>2304</v>
      </c>
      <c r="E353" s="4">
        <v>45</v>
      </c>
    </row>
    <row r="354" spans="1:5" x14ac:dyDescent="0.3">
      <c r="A354" s="3" t="s">
        <v>30</v>
      </c>
      <c r="B354" s="3" t="s">
        <v>37</v>
      </c>
      <c r="C354" s="3" t="s">
        <v>2</v>
      </c>
      <c r="D354" s="4">
        <v>115458</v>
      </c>
      <c r="E354" s="4">
        <v>60816</v>
      </c>
    </row>
    <row r="355" spans="1:5" x14ac:dyDescent="0.3">
      <c r="A355" s="3" t="s">
        <v>30</v>
      </c>
      <c r="B355" s="3" t="s">
        <v>37</v>
      </c>
      <c r="C355" s="3" t="s">
        <v>3</v>
      </c>
      <c r="D355" s="4">
        <v>143104</v>
      </c>
      <c r="E355" s="4">
        <v>61057</v>
      </c>
    </row>
    <row r="356" spans="1:5" x14ac:dyDescent="0.3">
      <c r="A356" s="3" t="s">
        <v>30</v>
      </c>
      <c r="B356" s="3" t="s">
        <v>37</v>
      </c>
      <c r="C356" s="3" t="s">
        <v>4</v>
      </c>
      <c r="D356" s="4">
        <v>167837</v>
      </c>
      <c r="E356" s="4">
        <v>72680</v>
      </c>
    </row>
    <row r="357" spans="1:5" x14ac:dyDescent="0.3">
      <c r="A357" s="3" t="s">
        <v>30</v>
      </c>
      <c r="B357" s="3" t="s">
        <v>37</v>
      </c>
      <c r="C357" s="3" t="s">
        <v>5</v>
      </c>
      <c r="D357" s="4">
        <v>158010</v>
      </c>
      <c r="E357" s="4">
        <v>64773</v>
      </c>
    </row>
    <row r="358" spans="1:5" x14ac:dyDescent="0.3">
      <c r="A358" s="3" t="s">
        <v>30</v>
      </c>
      <c r="B358" s="3" t="s">
        <v>37</v>
      </c>
      <c r="C358" s="3" t="s">
        <v>6</v>
      </c>
      <c r="D358" s="4">
        <v>158284</v>
      </c>
      <c r="E358" s="4">
        <v>70394</v>
      </c>
    </row>
    <row r="359" spans="1:5" x14ac:dyDescent="0.3">
      <c r="A359" s="3" t="s">
        <v>30</v>
      </c>
      <c r="B359" s="3" t="s">
        <v>38</v>
      </c>
      <c r="C359" s="3" t="s">
        <v>2</v>
      </c>
      <c r="D359" s="4">
        <v>134119</v>
      </c>
      <c r="E359" s="4">
        <v>53479</v>
      </c>
    </row>
    <row r="360" spans="1:5" x14ac:dyDescent="0.3">
      <c r="A360" s="3" t="s">
        <v>30</v>
      </c>
      <c r="B360" s="3" t="s">
        <v>38</v>
      </c>
      <c r="C360" s="3" t="s">
        <v>3</v>
      </c>
      <c r="D360" s="4">
        <v>166894</v>
      </c>
      <c r="E360" s="4">
        <v>48868</v>
      </c>
    </row>
    <row r="361" spans="1:5" x14ac:dyDescent="0.3">
      <c r="A361" s="3" t="s">
        <v>30</v>
      </c>
      <c r="B361" s="3" t="s">
        <v>38</v>
      </c>
      <c r="C361" s="3" t="s">
        <v>4</v>
      </c>
      <c r="D361" s="4">
        <v>182122</v>
      </c>
      <c r="E361" s="4">
        <v>62658</v>
      </c>
    </row>
    <row r="362" spans="1:5" x14ac:dyDescent="0.3">
      <c r="A362" s="3" t="s">
        <v>30</v>
      </c>
      <c r="B362" s="3" t="s">
        <v>38</v>
      </c>
      <c r="C362" s="3" t="s">
        <v>5</v>
      </c>
      <c r="D362" s="4">
        <v>164404</v>
      </c>
      <c r="E362" s="4">
        <v>55098</v>
      </c>
    </row>
    <row r="363" spans="1:5" x14ac:dyDescent="0.3">
      <c r="A363" s="3" t="s">
        <v>30</v>
      </c>
      <c r="B363" s="3" t="s">
        <v>38</v>
      </c>
      <c r="C363" s="3" t="s">
        <v>6</v>
      </c>
      <c r="D363" s="4">
        <v>153560</v>
      </c>
      <c r="E363" s="4">
        <v>61295</v>
      </c>
    </row>
    <row r="364" spans="1:5" x14ac:dyDescent="0.3">
      <c r="A364" s="3" t="s">
        <v>30</v>
      </c>
      <c r="B364" s="3" t="s">
        <v>36</v>
      </c>
      <c r="C364" s="3" t="s">
        <v>2</v>
      </c>
      <c r="D364" s="4">
        <v>82101</v>
      </c>
      <c r="E364" s="4">
        <v>22539</v>
      </c>
    </row>
    <row r="365" spans="1:5" x14ac:dyDescent="0.3">
      <c r="A365" s="3" t="s">
        <v>30</v>
      </c>
      <c r="B365" s="3" t="s">
        <v>36</v>
      </c>
      <c r="C365" s="3" t="s">
        <v>3</v>
      </c>
      <c r="D365" s="4">
        <v>63964</v>
      </c>
      <c r="E365" s="4">
        <v>16509</v>
      </c>
    </row>
    <row r="366" spans="1:5" x14ac:dyDescent="0.3">
      <c r="A366" s="3" t="s">
        <v>30</v>
      </c>
      <c r="B366" s="3" t="s">
        <v>36</v>
      </c>
      <c r="C366" s="3" t="s">
        <v>4</v>
      </c>
      <c r="D366" s="4">
        <v>76286</v>
      </c>
      <c r="E366" s="4">
        <v>18320</v>
      </c>
    </row>
    <row r="367" spans="1:5" x14ac:dyDescent="0.3">
      <c r="A367" s="3" t="s">
        <v>30</v>
      </c>
      <c r="B367" s="3" t="s">
        <v>36</v>
      </c>
      <c r="C367" s="3" t="s">
        <v>5</v>
      </c>
      <c r="D367" s="4">
        <v>78863</v>
      </c>
      <c r="E367" s="4">
        <v>20127</v>
      </c>
    </row>
    <row r="368" spans="1:5" x14ac:dyDescent="0.3">
      <c r="A368" s="3" t="s">
        <v>30</v>
      </c>
      <c r="B368" s="3" t="s">
        <v>36</v>
      </c>
      <c r="C368" s="3" t="s">
        <v>6</v>
      </c>
      <c r="D368" s="4">
        <v>71727</v>
      </c>
      <c r="E368" s="4">
        <v>22196</v>
      </c>
    </row>
    <row r="369" spans="1:5" x14ac:dyDescent="0.3">
      <c r="A369" s="3" t="s">
        <v>30</v>
      </c>
      <c r="B369" s="3" t="s">
        <v>35</v>
      </c>
      <c r="C369" s="3" t="s">
        <v>2</v>
      </c>
      <c r="D369" s="4">
        <v>210358</v>
      </c>
      <c r="E369" s="4">
        <v>78069</v>
      </c>
    </row>
    <row r="370" spans="1:5" x14ac:dyDescent="0.3">
      <c r="A370" s="3" t="s">
        <v>30</v>
      </c>
      <c r="B370" s="3" t="s">
        <v>35</v>
      </c>
      <c r="C370" s="3" t="s">
        <v>3</v>
      </c>
      <c r="D370" s="4">
        <v>251196</v>
      </c>
      <c r="E370" s="4">
        <v>66304</v>
      </c>
    </row>
    <row r="371" spans="1:5" x14ac:dyDescent="0.3">
      <c r="A371" s="3" t="s">
        <v>30</v>
      </c>
      <c r="B371" s="3" t="s">
        <v>35</v>
      </c>
      <c r="C371" s="3" t="s">
        <v>4</v>
      </c>
      <c r="D371" s="4">
        <v>328397</v>
      </c>
      <c r="E371" s="4">
        <v>81559</v>
      </c>
    </row>
    <row r="372" spans="1:5" x14ac:dyDescent="0.3">
      <c r="A372" s="3" t="s">
        <v>30</v>
      </c>
      <c r="B372" s="3" t="s">
        <v>35</v>
      </c>
      <c r="C372" s="3" t="s">
        <v>5</v>
      </c>
      <c r="D372" s="4">
        <v>353106</v>
      </c>
      <c r="E372" s="4">
        <v>70804</v>
      </c>
    </row>
    <row r="373" spans="1:5" x14ac:dyDescent="0.3">
      <c r="A373" s="3" t="s">
        <v>30</v>
      </c>
      <c r="B373" s="3" t="s">
        <v>35</v>
      </c>
      <c r="C373" s="3" t="s">
        <v>6</v>
      </c>
      <c r="D373" s="4">
        <v>332478</v>
      </c>
      <c r="E373" s="4">
        <v>71096</v>
      </c>
    </row>
    <row r="374" spans="1:5" x14ac:dyDescent="0.3">
      <c r="A374" s="3" t="s">
        <v>30</v>
      </c>
      <c r="B374" s="3" t="s">
        <v>34</v>
      </c>
      <c r="C374" s="3" t="s">
        <v>2</v>
      </c>
      <c r="D374" s="4">
        <v>5964</v>
      </c>
      <c r="E374" s="4">
        <v>582</v>
      </c>
    </row>
    <row r="375" spans="1:5" x14ac:dyDescent="0.3">
      <c r="A375" s="3" t="s">
        <v>30</v>
      </c>
      <c r="B375" s="3" t="s">
        <v>34</v>
      </c>
      <c r="C375" s="3" t="s">
        <v>3</v>
      </c>
      <c r="D375" s="4">
        <v>5267</v>
      </c>
      <c r="E375" s="4">
        <v>428</v>
      </c>
    </row>
    <row r="376" spans="1:5" x14ac:dyDescent="0.3">
      <c r="A376" s="3" t="s">
        <v>30</v>
      </c>
      <c r="B376" s="3" t="s">
        <v>34</v>
      </c>
      <c r="C376" s="3" t="s">
        <v>4</v>
      </c>
      <c r="D376" s="4">
        <v>4964</v>
      </c>
      <c r="E376" s="4">
        <v>396</v>
      </c>
    </row>
    <row r="377" spans="1:5" x14ac:dyDescent="0.3">
      <c r="A377" s="3" t="s">
        <v>30</v>
      </c>
      <c r="B377" s="3" t="s">
        <v>34</v>
      </c>
      <c r="C377" s="3" t="s">
        <v>5</v>
      </c>
      <c r="D377" s="4">
        <v>4587</v>
      </c>
      <c r="E377" s="4">
        <v>334</v>
      </c>
    </row>
    <row r="378" spans="1:5" x14ac:dyDescent="0.3">
      <c r="A378" s="3" t="s">
        <v>30</v>
      </c>
      <c r="B378" s="3" t="s">
        <v>34</v>
      </c>
      <c r="C378" s="3" t="s">
        <v>6</v>
      </c>
      <c r="D378" s="4">
        <v>4497</v>
      </c>
      <c r="E378" s="4">
        <v>369</v>
      </c>
    </row>
    <row r="379" spans="1:5" x14ac:dyDescent="0.3">
      <c r="A379" s="3" t="s">
        <v>31</v>
      </c>
      <c r="B379" s="3" t="s">
        <v>37</v>
      </c>
      <c r="C379" s="3" t="s">
        <v>2</v>
      </c>
      <c r="D379" s="4">
        <v>118495</v>
      </c>
      <c r="E379" s="4">
        <v>61203</v>
      </c>
    </row>
    <row r="380" spans="1:5" x14ac:dyDescent="0.3">
      <c r="A380" s="3" t="s">
        <v>31</v>
      </c>
      <c r="B380" s="3" t="s">
        <v>37</v>
      </c>
      <c r="C380" s="3" t="s">
        <v>3</v>
      </c>
      <c r="D380" s="4">
        <v>156765</v>
      </c>
      <c r="E380" s="4">
        <v>65518</v>
      </c>
    </row>
    <row r="381" spans="1:5" x14ac:dyDescent="0.3">
      <c r="A381" s="3" t="s">
        <v>31</v>
      </c>
      <c r="B381" s="3" t="s">
        <v>37</v>
      </c>
      <c r="C381" s="3" t="s">
        <v>4</v>
      </c>
      <c r="D381" s="4">
        <v>182094</v>
      </c>
      <c r="E381" s="4">
        <v>75355</v>
      </c>
    </row>
    <row r="382" spans="1:5" x14ac:dyDescent="0.3">
      <c r="A382" s="3" t="s">
        <v>31</v>
      </c>
      <c r="B382" s="3" t="s">
        <v>37</v>
      </c>
      <c r="C382" s="3" t="s">
        <v>5</v>
      </c>
      <c r="D382" s="4">
        <v>173676</v>
      </c>
      <c r="E382" s="4">
        <v>64033</v>
      </c>
    </row>
    <row r="383" spans="1:5" x14ac:dyDescent="0.3">
      <c r="A383" s="3" t="s">
        <v>31</v>
      </c>
      <c r="B383" s="3" t="s">
        <v>37</v>
      </c>
      <c r="C383" s="3" t="s">
        <v>6</v>
      </c>
      <c r="D383" s="4">
        <v>164191</v>
      </c>
      <c r="E383" s="4">
        <v>75466</v>
      </c>
    </row>
    <row r="384" spans="1:5" x14ac:dyDescent="0.3">
      <c r="A384" s="3" t="s">
        <v>31</v>
      </c>
      <c r="B384" s="3" t="s">
        <v>38</v>
      </c>
      <c r="C384" s="3" t="s">
        <v>2</v>
      </c>
      <c r="D384" s="4">
        <v>149228</v>
      </c>
      <c r="E384" s="4">
        <v>48869</v>
      </c>
    </row>
    <row r="385" spans="1:5" x14ac:dyDescent="0.3">
      <c r="A385" s="3" t="s">
        <v>31</v>
      </c>
      <c r="B385" s="3" t="s">
        <v>38</v>
      </c>
      <c r="C385" s="3" t="s">
        <v>3</v>
      </c>
      <c r="D385" s="4">
        <v>210269</v>
      </c>
      <c r="E385" s="4">
        <v>55496</v>
      </c>
    </row>
    <row r="386" spans="1:5" x14ac:dyDescent="0.3">
      <c r="A386" s="3" t="s">
        <v>31</v>
      </c>
      <c r="B386" s="3" t="s">
        <v>38</v>
      </c>
      <c r="C386" s="3" t="s">
        <v>4</v>
      </c>
      <c r="D386" s="4">
        <v>225287</v>
      </c>
      <c r="E386" s="4">
        <v>72883</v>
      </c>
    </row>
    <row r="387" spans="1:5" x14ac:dyDescent="0.3">
      <c r="A387" s="3" t="s">
        <v>31</v>
      </c>
      <c r="B387" s="3" t="s">
        <v>38</v>
      </c>
      <c r="C387" s="3" t="s">
        <v>5</v>
      </c>
      <c r="D387" s="4">
        <v>208789</v>
      </c>
      <c r="E387" s="4">
        <v>60595</v>
      </c>
    </row>
    <row r="388" spans="1:5" x14ac:dyDescent="0.3">
      <c r="A388" s="3" t="s">
        <v>31</v>
      </c>
      <c r="B388" s="3" t="s">
        <v>38</v>
      </c>
      <c r="C388" s="3" t="s">
        <v>6</v>
      </c>
      <c r="D388" s="4">
        <v>183316</v>
      </c>
      <c r="E388" s="4">
        <v>63483</v>
      </c>
    </row>
    <row r="389" spans="1:5" x14ac:dyDescent="0.3">
      <c r="A389" s="3" t="s">
        <v>31</v>
      </c>
      <c r="B389" s="3" t="s">
        <v>36</v>
      </c>
      <c r="C389" s="3" t="s">
        <v>2</v>
      </c>
      <c r="D389" s="4">
        <v>101828</v>
      </c>
      <c r="E389" s="4">
        <v>30102</v>
      </c>
    </row>
    <row r="390" spans="1:5" x14ac:dyDescent="0.3">
      <c r="A390" s="3" t="s">
        <v>31</v>
      </c>
      <c r="B390" s="3" t="s">
        <v>36</v>
      </c>
      <c r="C390" s="3" t="s">
        <v>3</v>
      </c>
      <c r="D390" s="4">
        <v>76934</v>
      </c>
      <c r="E390" s="4">
        <v>22834</v>
      </c>
    </row>
    <row r="391" spans="1:5" x14ac:dyDescent="0.3">
      <c r="A391" s="3" t="s">
        <v>31</v>
      </c>
      <c r="B391" s="3" t="s">
        <v>36</v>
      </c>
      <c r="C391" s="3" t="s">
        <v>4</v>
      </c>
      <c r="D391" s="4">
        <v>99273</v>
      </c>
      <c r="E391" s="4">
        <v>27566</v>
      </c>
    </row>
    <row r="392" spans="1:5" x14ac:dyDescent="0.3">
      <c r="A392" s="3" t="s">
        <v>31</v>
      </c>
      <c r="B392" s="3" t="s">
        <v>36</v>
      </c>
      <c r="C392" s="3" t="s">
        <v>5</v>
      </c>
      <c r="D392" s="4">
        <v>104930</v>
      </c>
      <c r="E392" s="4">
        <v>26628</v>
      </c>
    </row>
    <row r="393" spans="1:5" x14ac:dyDescent="0.3">
      <c r="A393" s="3" t="s">
        <v>31</v>
      </c>
      <c r="B393" s="3" t="s">
        <v>36</v>
      </c>
      <c r="C393" s="3" t="s">
        <v>6</v>
      </c>
      <c r="D393" s="4">
        <v>95346</v>
      </c>
      <c r="E393" s="4">
        <v>31308</v>
      </c>
    </row>
    <row r="394" spans="1:5" x14ac:dyDescent="0.3">
      <c r="A394" s="3" t="s">
        <v>31</v>
      </c>
      <c r="B394" s="3" t="s">
        <v>35</v>
      </c>
      <c r="C394" s="3" t="s">
        <v>2</v>
      </c>
      <c r="D394" s="4">
        <v>232561</v>
      </c>
      <c r="E394" s="4">
        <v>92419</v>
      </c>
    </row>
    <row r="395" spans="1:5" x14ac:dyDescent="0.3">
      <c r="A395" s="3" t="s">
        <v>31</v>
      </c>
      <c r="B395" s="3" t="s">
        <v>35</v>
      </c>
      <c r="C395" s="3" t="s">
        <v>3</v>
      </c>
      <c r="D395" s="4">
        <v>294465</v>
      </c>
      <c r="E395" s="4">
        <v>89267</v>
      </c>
    </row>
    <row r="396" spans="1:5" x14ac:dyDescent="0.3">
      <c r="A396" s="3" t="s">
        <v>31</v>
      </c>
      <c r="B396" s="3" t="s">
        <v>35</v>
      </c>
      <c r="C396" s="3" t="s">
        <v>4</v>
      </c>
      <c r="D396" s="4">
        <v>408904</v>
      </c>
      <c r="E396" s="4">
        <v>112169</v>
      </c>
    </row>
    <row r="397" spans="1:5" x14ac:dyDescent="0.3">
      <c r="A397" s="3" t="s">
        <v>31</v>
      </c>
      <c r="B397" s="3" t="s">
        <v>35</v>
      </c>
      <c r="C397" s="3" t="s">
        <v>5</v>
      </c>
      <c r="D397" s="4">
        <v>402325</v>
      </c>
      <c r="E397" s="4">
        <v>93836</v>
      </c>
    </row>
    <row r="398" spans="1:5" x14ac:dyDescent="0.3">
      <c r="A398" s="3" t="s">
        <v>31</v>
      </c>
      <c r="B398" s="3" t="s">
        <v>35</v>
      </c>
      <c r="C398" s="3" t="s">
        <v>6</v>
      </c>
      <c r="D398" s="4">
        <v>349109</v>
      </c>
      <c r="E398" s="4">
        <v>93640</v>
      </c>
    </row>
    <row r="399" spans="1:5" x14ac:dyDescent="0.3">
      <c r="A399" s="3" t="s">
        <v>31</v>
      </c>
      <c r="B399" s="3" t="s">
        <v>34</v>
      </c>
      <c r="C399" s="3" t="s">
        <v>2</v>
      </c>
      <c r="D399" s="4">
        <v>6310</v>
      </c>
      <c r="E399" s="4">
        <v>500</v>
      </c>
    </row>
    <row r="400" spans="1:5" x14ac:dyDescent="0.3">
      <c r="A400" s="3" t="s">
        <v>31</v>
      </c>
      <c r="B400" s="3" t="s">
        <v>34</v>
      </c>
      <c r="C400" s="3" t="s">
        <v>3</v>
      </c>
      <c r="D400" s="4">
        <v>5504</v>
      </c>
      <c r="E400" s="4">
        <v>401</v>
      </c>
    </row>
    <row r="401" spans="1:5" x14ac:dyDescent="0.3">
      <c r="A401" s="3" t="s">
        <v>31</v>
      </c>
      <c r="B401" s="3" t="s">
        <v>34</v>
      </c>
      <c r="C401" s="3" t="s">
        <v>4</v>
      </c>
      <c r="D401" s="4">
        <v>5249</v>
      </c>
      <c r="E401" s="4">
        <v>317</v>
      </c>
    </row>
    <row r="402" spans="1:5" x14ac:dyDescent="0.3">
      <c r="A402" s="3" t="s">
        <v>31</v>
      </c>
      <c r="B402" s="3" t="s">
        <v>34</v>
      </c>
      <c r="C402" s="3" t="s">
        <v>5</v>
      </c>
      <c r="D402" s="4">
        <v>4983</v>
      </c>
      <c r="E402" s="4">
        <v>254</v>
      </c>
    </row>
    <row r="403" spans="1:5" x14ac:dyDescent="0.3">
      <c r="A403" s="3" t="s">
        <v>31</v>
      </c>
      <c r="B403" s="3" t="s">
        <v>34</v>
      </c>
      <c r="C403" s="3" t="s">
        <v>6</v>
      </c>
      <c r="D403" s="4">
        <v>4974</v>
      </c>
      <c r="E403" s="4">
        <v>335</v>
      </c>
    </row>
    <row r="404" spans="1:5" x14ac:dyDescent="0.3">
      <c r="A404" s="3" t="s">
        <v>32</v>
      </c>
      <c r="B404" s="3" t="s">
        <v>37</v>
      </c>
      <c r="C404" s="3" t="s">
        <v>2</v>
      </c>
      <c r="D404" s="4">
        <v>51301</v>
      </c>
      <c r="E404" s="4">
        <v>12986</v>
      </c>
    </row>
    <row r="405" spans="1:5" x14ac:dyDescent="0.3">
      <c r="A405" s="3" t="s">
        <v>32</v>
      </c>
      <c r="B405" s="3" t="s">
        <v>37</v>
      </c>
      <c r="C405" s="3" t="s">
        <v>3</v>
      </c>
      <c r="D405" s="4">
        <v>66054</v>
      </c>
      <c r="E405" s="4">
        <v>13285</v>
      </c>
    </row>
    <row r="406" spans="1:5" x14ac:dyDescent="0.3">
      <c r="A406" s="3" t="s">
        <v>32</v>
      </c>
      <c r="B406" s="3" t="s">
        <v>37</v>
      </c>
      <c r="C406" s="3" t="s">
        <v>4</v>
      </c>
      <c r="D406" s="4">
        <v>73592</v>
      </c>
      <c r="E406" s="4">
        <v>15644</v>
      </c>
    </row>
    <row r="407" spans="1:5" x14ac:dyDescent="0.3">
      <c r="A407" s="3" t="s">
        <v>32</v>
      </c>
      <c r="B407" s="3" t="s">
        <v>37</v>
      </c>
      <c r="C407" s="3" t="s">
        <v>5</v>
      </c>
      <c r="D407" s="4">
        <v>72574</v>
      </c>
      <c r="E407" s="4">
        <v>15123</v>
      </c>
    </row>
    <row r="408" spans="1:5" x14ac:dyDescent="0.3">
      <c r="A408" s="3" t="s">
        <v>32</v>
      </c>
      <c r="B408" s="3" t="s">
        <v>37</v>
      </c>
      <c r="C408" s="3" t="s">
        <v>6</v>
      </c>
      <c r="D408" s="4">
        <v>67439</v>
      </c>
      <c r="E408" s="4">
        <v>14714</v>
      </c>
    </row>
    <row r="409" spans="1:5" x14ac:dyDescent="0.3">
      <c r="A409" s="3" t="s">
        <v>32</v>
      </c>
      <c r="B409" s="3" t="s">
        <v>38</v>
      </c>
      <c r="C409" s="3" t="s">
        <v>2</v>
      </c>
      <c r="D409" s="4">
        <v>58913</v>
      </c>
      <c r="E409" s="4">
        <v>11411</v>
      </c>
    </row>
    <row r="410" spans="1:5" x14ac:dyDescent="0.3">
      <c r="A410" s="3" t="s">
        <v>32</v>
      </c>
      <c r="B410" s="3" t="s">
        <v>38</v>
      </c>
      <c r="C410" s="3" t="s">
        <v>3</v>
      </c>
      <c r="D410" s="4">
        <v>97755</v>
      </c>
      <c r="E410" s="4">
        <v>14606</v>
      </c>
    </row>
    <row r="411" spans="1:5" x14ac:dyDescent="0.3">
      <c r="A411" s="3" t="s">
        <v>32</v>
      </c>
      <c r="B411" s="3" t="s">
        <v>38</v>
      </c>
      <c r="C411" s="3" t="s">
        <v>4</v>
      </c>
      <c r="D411" s="4">
        <v>109560</v>
      </c>
      <c r="E411" s="4">
        <v>19446</v>
      </c>
    </row>
    <row r="412" spans="1:5" x14ac:dyDescent="0.3">
      <c r="A412" s="3" t="s">
        <v>32</v>
      </c>
      <c r="B412" s="3" t="s">
        <v>38</v>
      </c>
      <c r="C412" s="3" t="s">
        <v>5</v>
      </c>
      <c r="D412" s="4">
        <v>105656</v>
      </c>
      <c r="E412" s="4">
        <v>19968</v>
      </c>
    </row>
    <row r="413" spans="1:5" x14ac:dyDescent="0.3">
      <c r="A413" s="3" t="s">
        <v>32</v>
      </c>
      <c r="B413" s="3" t="s">
        <v>38</v>
      </c>
      <c r="C413" s="3" t="s">
        <v>6</v>
      </c>
      <c r="D413" s="4">
        <v>89073</v>
      </c>
      <c r="E413" s="4">
        <v>19645</v>
      </c>
    </row>
    <row r="414" spans="1:5" x14ac:dyDescent="0.3">
      <c r="A414" s="3" t="s">
        <v>32</v>
      </c>
      <c r="B414" s="3" t="s">
        <v>36</v>
      </c>
      <c r="C414" s="3" t="s">
        <v>2</v>
      </c>
      <c r="D414" s="4">
        <v>36158</v>
      </c>
      <c r="E414" s="4">
        <v>10851</v>
      </c>
    </row>
    <row r="415" spans="1:5" x14ac:dyDescent="0.3">
      <c r="A415" s="3" t="s">
        <v>32</v>
      </c>
      <c r="B415" s="3" t="s">
        <v>36</v>
      </c>
      <c r="C415" s="3" t="s">
        <v>3</v>
      </c>
      <c r="D415" s="4">
        <v>28275</v>
      </c>
      <c r="E415" s="4">
        <v>7922</v>
      </c>
    </row>
    <row r="416" spans="1:5" x14ac:dyDescent="0.3">
      <c r="A416" s="3" t="s">
        <v>32</v>
      </c>
      <c r="B416" s="3" t="s">
        <v>36</v>
      </c>
      <c r="C416" s="3" t="s">
        <v>4</v>
      </c>
      <c r="D416" s="4">
        <v>39315</v>
      </c>
      <c r="E416" s="4">
        <v>9867</v>
      </c>
    </row>
    <row r="417" spans="1:5" x14ac:dyDescent="0.3">
      <c r="A417" s="3" t="s">
        <v>32</v>
      </c>
      <c r="B417" s="3" t="s">
        <v>36</v>
      </c>
      <c r="C417" s="3" t="s">
        <v>5</v>
      </c>
      <c r="D417" s="4">
        <v>42025</v>
      </c>
      <c r="E417" s="4">
        <v>9238</v>
      </c>
    </row>
    <row r="418" spans="1:5" x14ac:dyDescent="0.3">
      <c r="A418" s="3" t="s">
        <v>32</v>
      </c>
      <c r="B418" s="3" t="s">
        <v>36</v>
      </c>
      <c r="C418" s="3" t="s">
        <v>6</v>
      </c>
      <c r="D418" s="4">
        <v>40413</v>
      </c>
      <c r="E418" s="4">
        <v>10021</v>
      </c>
    </row>
    <row r="419" spans="1:5" x14ac:dyDescent="0.3">
      <c r="A419" s="3" t="s">
        <v>32</v>
      </c>
      <c r="B419" s="3" t="s">
        <v>35</v>
      </c>
      <c r="C419" s="3" t="s">
        <v>2</v>
      </c>
      <c r="D419" s="4">
        <v>39259</v>
      </c>
      <c r="E419" s="4">
        <v>11185</v>
      </c>
    </row>
    <row r="420" spans="1:5" x14ac:dyDescent="0.3">
      <c r="A420" s="3" t="s">
        <v>32</v>
      </c>
      <c r="B420" s="3" t="s">
        <v>35</v>
      </c>
      <c r="C420" s="3" t="s">
        <v>3</v>
      </c>
      <c r="D420" s="4">
        <v>60406</v>
      </c>
      <c r="E420" s="4">
        <v>12218</v>
      </c>
    </row>
    <row r="421" spans="1:5" x14ac:dyDescent="0.3">
      <c r="A421" s="3" t="s">
        <v>32</v>
      </c>
      <c r="B421" s="3" t="s">
        <v>35</v>
      </c>
      <c r="C421" s="3" t="s">
        <v>4</v>
      </c>
      <c r="D421" s="4">
        <v>84931</v>
      </c>
      <c r="E421" s="4">
        <v>16137</v>
      </c>
    </row>
    <row r="422" spans="1:5" x14ac:dyDescent="0.3">
      <c r="A422" s="3" t="s">
        <v>32</v>
      </c>
      <c r="B422" s="3" t="s">
        <v>35</v>
      </c>
      <c r="C422" s="3" t="s">
        <v>5</v>
      </c>
      <c r="D422" s="4">
        <v>95320</v>
      </c>
      <c r="E422" s="4">
        <v>17321</v>
      </c>
    </row>
    <row r="423" spans="1:5" x14ac:dyDescent="0.3">
      <c r="A423" s="3" t="s">
        <v>32</v>
      </c>
      <c r="B423" s="3" t="s">
        <v>35</v>
      </c>
      <c r="C423" s="3" t="s">
        <v>6</v>
      </c>
      <c r="D423" s="4">
        <v>85959</v>
      </c>
      <c r="E423" s="4">
        <v>16571</v>
      </c>
    </row>
    <row r="424" spans="1:5" x14ac:dyDescent="0.3">
      <c r="A424" s="3" t="s">
        <v>32</v>
      </c>
      <c r="B424" s="3" t="s">
        <v>34</v>
      </c>
      <c r="C424" s="3" t="s">
        <v>2</v>
      </c>
      <c r="D424" s="4">
        <v>2955</v>
      </c>
      <c r="E424" s="4">
        <v>249</v>
      </c>
    </row>
    <row r="425" spans="1:5" x14ac:dyDescent="0.3">
      <c r="A425" s="3" t="s">
        <v>32</v>
      </c>
      <c r="B425" s="3" t="s">
        <v>34</v>
      </c>
      <c r="C425" s="3" t="s">
        <v>3</v>
      </c>
      <c r="D425" s="4">
        <v>2596</v>
      </c>
      <c r="E425" s="4">
        <v>180</v>
      </c>
    </row>
    <row r="426" spans="1:5" x14ac:dyDescent="0.3">
      <c r="A426" s="3" t="s">
        <v>32</v>
      </c>
      <c r="B426" s="3" t="s">
        <v>34</v>
      </c>
      <c r="C426" s="3" t="s">
        <v>4</v>
      </c>
      <c r="D426" s="4">
        <v>2503</v>
      </c>
      <c r="E426" s="4">
        <v>174</v>
      </c>
    </row>
    <row r="427" spans="1:5" x14ac:dyDescent="0.3">
      <c r="A427" s="3" t="s">
        <v>32</v>
      </c>
      <c r="B427" s="3" t="s">
        <v>34</v>
      </c>
      <c r="C427" s="3" t="s">
        <v>5</v>
      </c>
      <c r="D427" s="4">
        <v>2337</v>
      </c>
      <c r="E427" s="4">
        <v>155</v>
      </c>
    </row>
    <row r="428" spans="1:5" x14ac:dyDescent="0.3">
      <c r="A428" s="3" t="s">
        <v>32</v>
      </c>
      <c r="B428" s="3" t="s">
        <v>34</v>
      </c>
      <c r="C428" s="3" t="s">
        <v>6</v>
      </c>
      <c r="D428" s="4">
        <v>2305</v>
      </c>
      <c r="E428" s="4">
        <v>150</v>
      </c>
    </row>
  </sheetData>
  <mergeCells count="1">
    <mergeCell ref="A1:E1"/>
  </mergeCells>
  <pageMargins left="0.7" right="0.7" top="0.75" bottom="0.75" header="0.3" footer="0.3"/>
  <pageSetup paperSize="9" orientation="portrait" horizontalDpi="1200" verticalDpi="1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AÑO 2023</vt:lpstr>
      <vt:lpstr>AÑO 2024</vt:lpstr>
      <vt:lpstr>AÑO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Jocelyn Cerna</dc:creator>
  <cp:lastModifiedBy>MICHEL IVETTE RS</cp:lastModifiedBy>
  <dcterms:created xsi:type="dcterms:W3CDTF">2025-07-01T19:10:41Z</dcterms:created>
  <dcterms:modified xsi:type="dcterms:W3CDTF">2025-11-06T19:39:20Z</dcterms:modified>
</cp:coreProperties>
</file>